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ostch-my.sharepoint.com/personal/marc_kressig_ost_ch/Documents/_IWK-cloud/CAD/IWK5X git release/still push/"/>
    </mc:Choice>
  </mc:AlternateContent>
  <xr:revisionPtr revIDLastSave="6" documentId="13_ncr:1_{6F0551CF-96B4-4CD8-B4AD-B2B98026FC7C}" xr6:coauthVersionLast="47" xr6:coauthVersionMax="47" xr10:uidLastSave="{ADA70673-8079-46FD-A15B-B8FF807C5599}"/>
  <bookViews>
    <workbookView xWindow="-120" yWindow="-120" windowWidth="29040" windowHeight="15720" xr2:uid="{00000000-000D-0000-FFFF-FFFF00000000}"/>
  </bookViews>
  <sheets>
    <sheet name="Voron" sheetId="3" r:id="rId1"/>
    <sheet name="Dropdowns" sheetId="4" r:id="rId2"/>
  </sheets>
  <definedNames>
    <definedName name="_xlnm.Print_Area" localSheetId="0">Voron!$A$1:$O$64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0" i="3" l="1"/>
  <c r="J71" i="3"/>
  <c r="J72" i="3"/>
  <c r="J73" i="3"/>
  <c r="J74" i="3"/>
  <c r="J75" i="3"/>
  <c r="J76" i="3"/>
  <c r="J77" i="3"/>
  <c r="J78" i="3"/>
  <c r="J49" i="3"/>
  <c r="J50" i="3"/>
  <c r="J51" i="3"/>
  <c r="J52" i="3"/>
  <c r="J46" i="3"/>
  <c r="J54" i="3"/>
  <c r="J56" i="3"/>
  <c r="J57" i="3"/>
  <c r="J58" i="3"/>
  <c r="J59" i="3"/>
  <c r="J60" i="3"/>
  <c r="J61" i="3"/>
  <c r="J62" i="3"/>
  <c r="J63" i="3"/>
  <c r="J55" i="3"/>
  <c r="J64" i="3"/>
  <c r="J66" i="3"/>
  <c r="J65" i="3"/>
  <c r="J67" i="3"/>
  <c r="J68" i="3"/>
  <c r="J69" i="3"/>
  <c r="J32" i="3"/>
  <c r="J35" i="3"/>
  <c r="J36" i="3"/>
  <c r="J41" i="3"/>
  <c r="J25" i="3"/>
  <c r="J27" i="3"/>
  <c r="J7" i="3"/>
  <c r="J22" i="3"/>
  <c r="J23" i="3"/>
  <c r="J24" i="3"/>
  <c r="J26" i="3"/>
  <c r="J31" i="3"/>
  <c r="J30" i="3"/>
  <c r="J33" i="3"/>
  <c r="J34" i="3"/>
  <c r="J17" i="3"/>
  <c r="J8" i="3"/>
  <c r="J9" i="3"/>
  <c r="J10" i="3"/>
  <c r="J11" i="3"/>
  <c r="J16" i="3"/>
  <c r="J19" i="3"/>
  <c r="J20" i="3"/>
  <c r="J21" i="3"/>
  <c r="J40" i="3"/>
  <c r="J39" i="3"/>
  <c r="J12" i="3"/>
  <c r="J13" i="3"/>
  <c r="J14" i="3"/>
  <c r="J18" i="3"/>
  <c r="J38" i="3"/>
  <c r="J28" i="3"/>
  <c r="J29" i="3"/>
  <c r="J15" i="3"/>
  <c r="J37" i="3"/>
  <c r="J53" i="3"/>
  <c r="J42" i="3"/>
  <c r="J43" i="3"/>
  <c r="J44" i="3"/>
  <c r="J45" i="3"/>
  <c r="J47" i="3"/>
  <c r="J48" i="3"/>
  <c r="J2" i="3" l="1"/>
</calcChain>
</file>

<file path=xl/sharedStrings.xml><?xml version="1.0" encoding="utf-8"?>
<sst xmlns="http://schemas.openxmlformats.org/spreadsheetml/2006/main" count="295" uniqueCount="115">
  <si>
    <t>Order list</t>
  </si>
  <si>
    <t>Total price</t>
  </si>
  <si>
    <t>CHF</t>
  </si>
  <si>
    <t>Legend</t>
  </si>
  <si>
    <t>can be ordered</t>
  </si>
  <si>
    <t>Subject</t>
  </si>
  <si>
    <t>5-axis 3D printer</t>
  </si>
  <si>
    <t>ordered</t>
  </si>
  <si>
    <t>arrived</t>
  </si>
  <si>
    <t>Pos</t>
  </si>
  <si>
    <t>Description</t>
  </si>
  <si>
    <t>Part number</t>
  </si>
  <si>
    <t>Internal/External</t>
  </si>
  <si>
    <t>Source</t>
  </si>
  <si>
    <t>Link</t>
  </si>
  <si>
    <t>Qty</t>
  </si>
  <si>
    <t>Unit price</t>
  </si>
  <si>
    <t>Total price</t>
  </si>
  <si>
    <t>OK</t>
  </si>
  <si>
    <t>under clarification</t>
  </si>
  <si>
    <t>Power supply 24V 400W</t>
  </si>
  <si>
    <t>E3D-E-PSU-24V-400W</t>
  </si>
  <si>
    <t>External</t>
  </si>
  <si>
    <t>3DJAKE</t>
  </si>
  <si>
    <t>not needed</t>
  </si>
  <si>
    <t>Rapido Plus Hotend HF Black</t>
  </si>
  <si>
    <t>PH-A158-05B-15-03</t>
  </si>
  <si>
    <t>Nozzle 0.4mm Bondtech CHT BiMetal</t>
  </si>
  <si>
    <t>BTE-600-A-CHT-MOS-175-40</t>
  </si>
  <si>
    <t>Nozzle 0.6mm Bondtech CHT BiMetal</t>
  </si>
  <si>
    <t>BTE-600-A-CHT-MOS-175-60</t>
  </si>
  <si>
    <t>Bondtech LGX Extruder</t>
  </si>
  <si>
    <t>BTE-EXT-LGX</t>
  </si>
  <si>
    <t>Capricorn PTFE 2m</t>
  </si>
  <si>
    <t>CC-XS-175-2</t>
  </si>
  <si>
    <t>Bondtech LGX Hardened Steel Drive</t>
  </si>
  <si>
    <t>BTE-15147</t>
  </si>
  <si>
    <t>Fan 4010 24V</t>
  </si>
  <si>
    <t>CRE-4004110083</t>
  </si>
  <si>
    <t>Heated bed D200</t>
  </si>
  <si>
    <t>FLS-Q5-HOTBED</t>
  </si>
  <si>
    <t>Flexplate D203</t>
  </si>
  <si>
    <t>BT-BTFS08DIA</t>
  </si>
  <si>
    <r>
      <t xml:space="preserve">Voron 2.4 350mm </t>
    </r>
    <r>
      <rPr>
        <b/>
        <sz val="11"/>
        <color theme="1"/>
        <rFont val="Arial"/>
        <family val="2"/>
      </rPr>
      <t>Rev.A</t>
    </r>
    <r>
      <rPr>
        <sz val="11"/>
        <color theme="1"/>
        <rFont val="Arial"/>
        <family val="2"/>
      </rPr>
      <t xml:space="preserve"> Black</t>
    </r>
  </si>
  <si>
    <t>PHWVO0010V.3</t>
  </si>
  <si>
    <t>3Dmensionals</t>
  </si>
  <si>
    <t>Linear rail 12mmx400m</t>
  </si>
  <si>
    <t>3dWare</t>
  </si>
  <si>
    <t>Duet 2 Wifi</t>
  </si>
  <si>
    <t>DueX 5 Expansion Board</t>
  </si>
  <si>
    <t>Microswitch + PCB</t>
  </si>
  <si>
    <t>Power cable CH</t>
  </si>
  <si>
    <t>Nema 23 2.8A 8mm Stepper</t>
  </si>
  <si>
    <t>Pulley GT2 6mm 20T</t>
  </si>
  <si>
    <t>Wire AWG17 black 10m</t>
  </si>
  <si>
    <t>KP08 Bearing block</t>
  </si>
  <si>
    <t>Belt GT2 9mm 450mm</t>
  </si>
  <si>
    <t>Belt GT2 6mm 480mm</t>
  </si>
  <si>
    <t>Pulley GT2 9mm 20T</t>
  </si>
  <si>
    <t>Pulley GT2 6mm 40T</t>
  </si>
  <si>
    <t>Pulley GT2 9mm 60T</t>
  </si>
  <si>
    <t>Flange bearing F695ZZ</t>
  </si>
  <si>
    <r>
      <t xml:space="preserve">3D Probe </t>
    </r>
    <r>
      <rPr>
        <sz val="11"/>
        <color theme="1"/>
        <rFont val="Calibri"/>
        <family val="2"/>
      </rPr>
      <t>Ø</t>
    </r>
    <r>
      <rPr>
        <sz val="11"/>
        <color theme="1"/>
        <rFont val="Arial"/>
        <family val="2"/>
      </rPr>
      <t>6mm + Spare stylus</t>
    </r>
  </si>
  <si>
    <t>n/a</t>
  </si>
  <si>
    <t>Aliexpress</t>
  </si>
  <si>
    <t>Slip ring 8P 10A</t>
  </si>
  <si>
    <t>Bastelgarage</t>
  </si>
  <si>
    <t>Nema 17 1.5A 5mm Stepper</t>
  </si>
  <si>
    <t>Limit switch roller</t>
  </si>
  <si>
    <t>Wire AWG24 Black 100m</t>
  </si>
  <si>
    <t>Fan 4020 24V</t>
  </si>
  <si>
    <t>Crimping tool JST/ Dupont/ Molex</t>
  </si>
  <si>
    <t>JST XH Set 2.54mm</t>
  </si>
  <si>
    <t>JST PH Set 2.0mm</t>
  </si>
  <si>
    <t>Switching regulator</t>
  </si>
  <si>
    <t>Assortment box 15 compartments</t>
  </si>
  <si>
    <t>Drag chain 10x10mm</t>
  </si>
  <si>
    <t>JST SM Set 2.54mm</t>
  </si>
  <si>
    <t>Carbon tube D10 d8 1m</t>
  </si>
  <si>
    <t>XT30 Connector</t>
  </si>
  <si>
    <t>Solder</t>
  </si>
  <si>
    <t>Threaded insert M3 50pcs</t>
  </si>
  <si>
    <t>Threaded insert M5 50pcs</t>
  </si>
  <si>
    <t>Threaded insert M6 50pcs</t>
  </si>
  <si>
    <t>Electromagnet 8kg</t>
  </si>
  <si>
    <t>Relay 2-channel</t>
  </si>
  <si>
    <t>Heat shrink tubing</t>
  </si>
  <si>
    <t>Push button Green</t>
  </si>
  <si>
    <t>Push button Red</t>
  </si>
  <si>
    <t>Cable ties 3mm 100pcs</t>
  </si>
  <si>
    <t>2K Epoxy UHU</t>
  </si>
  <si>
    <t>Keystone USB C to A</t>
  </si>
  <si>
    <t>Brack</t>
  </si>
  <si>
    <t>Slewing ring</t>
  </si>
  <si>
    <t>PRT-02.50-LC</t>
  </si>
  <si>
    <t>igus</t>
  </si>
  <si>
    <t>Base plate</t>
  </si>
  <si>
    <t>Internal</t>
  </si>
  <si>
    <t>Int/Ext</t>
  </si>
  <si>
    <t>Supplier</t>
  </si>
  <si>
    <t>Mädler</t>
  </si>
  <si>
    <t>Schweighofer</t>
  </si>
  <si>
    <t>Galaxus</t>
  </si>
  <si>
    <t>Amazon</t>
  </si>
  <si>
    <t>Blexon</t>
  </si>
  <si>
    <t>Durovis</t>
  </si>
  <si>
    <t>Wire AWG20 Black 10m</t>
  </si>
  <si>
    <t>IWK</t>
  </si>
  <si>
    <t>Kinematic components swivel table</t>
  </si>
  <si>
    <t>Printed parts SLS/FFF</t>
  </si>
  <si>
    <t>JLC3DP</t>
  </si>
  <si>
    <t>Dupont Crimp Set</t>
  </si>
  <si>
    <t>JLCCNC</t>
  </si>
  <si>
    <t>Comment</t>
  </si>
  <si>
    <t>Mech-Workshop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</si>
</sst>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2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18213D"/>
      <name val="Arial"/>
      <family val="2"/>
    </font>
    <font>
      <sz val="11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0" xfId="1" applyFill="1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2" fontId="3" fillId="0" borderId="0" xfId="0" applyNumberFormat="1" applyFont="1"/>
    <xf numFmtId="2" fontId="4" fillId="3" borderId="2" xfId="0" applyNumberFormat="1" applyFont="1" applyFill="1" applyBorder="1"/>
    <xf numFmtId="2" fontId="4" fillId="0" borderId="0" xfId="0" applyNumberFormat="1" applyFont="1"/>
    <xf numFmtId="0" fontId="5" fillId="0" borderId="0" xfId="0" applyFont="1"/>
    <xf numFmtId="14" fontId="3" fillId="0" borderId="0" xfId="0" applyNumberFormat="1" applyFont="1" applyAlignment="1">
      <alignment horizontal="left"/>
    </xf>
    <xf numFmtId="0" fontId="3" fillId="4" borderId="0" xfId="0" applyFont="1" applyFill="1"/>
    <xf numFmtId="0" fontId="3" fillId="5" borderId="0" xfId="0" applyFont="1" applyFill="1"/>
    <xf numFmtId="0" fontId="3" fillId="2" borderId="1" xfId="0" applyFont="1" applyFill="1" applyBorder="1"/>
    <xf numFmtId="1" fontId="3" fillId="2" borderId="1" xfId="0" applyNumberFormat="1" applyFont="1" applyFill="1" applyBorder="1"/>
    <xf numFmtId="2" fontId="3" fillId="2" borderId="1" xfId="0" applyNumberFormat="1" applyFont="1" applyFill="1" applyBorder="1"/>
    <xf numFmtId="2" fontId="3" fillId="2" borderId="0" xfId="0" applyNumberFormat="1" applyFont="1" applyFill="1"/>
    <xf numFmtId="0" fontId="3" fillId="2" borderId="0" xfId="0" applyFont="1" applyFill="1"/>
    <xf numFmtId="0" fontId="3" fillId="6" borderId="0" xfId="0" applyFont="1" applyFill="1"/>
    <xf numFmtId="1" fontId="3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14" fontId="7" fillId="0" borderId="0" xfId="0" applyNumberFormat="1" applyFont="1" applyAlignment="1">
      <alignment horizontal="right"/>
    </xf>
    <xf numFmtId="0" fontId="3" fillId="2" borderId="1" xfId="0" applyFont="1" applyFill="1" applyBorder="1" applyAlignment="1">
      <alignment horizontal="right"/>
    </xf>
    <xf numFmtId="0" fontId="8" fillId="0" borderId="0" xfId="0" applyFont="1" applyAlignment="1">
      <alignment horizontal="right"/>
    </xf>
    <xf numFmtId="0" fontId="3" fillId="7" borderId="0" xfId="0" applyFont="1" applyFill="1"/>
    <xf numFmtId="0" fontId="1" fillId="0" borderId="0" xfId="1"/>
    <xf numFmtId="0" fontId="3" fillId="8" borderId="0" xfId="0" applyFont="1" applyFill="1"/>
    <xf numFmtId="2" fontId="3" fillId="0" borderId="3" xfId="0" applyNumberFormat="1" applyFont="1" applyFill="1" applyBorder="1"/>
    <xf numFmtId="2" fontId="9" fillId="0" borderId="3" xfId="0" applyNumberFormat="1" applyFont="1" applyFill="1" applyBorder="1"/>
    <xf numFmtId="2" fontId="3" fillId="0" borderId="3" xfId="0" applyNumberFormat="1" applyFont="1" applyBorder="1"/>
    <xf numFmtId="0" fontId="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13">
    <dxf>
      <font>
        <strike val="0"/>
        <outline val="0"/>
        <shadow val="0"/>
        <vertAlign val="baseline"/>
        <name val="Arial"/>
        <family val="2"/>
        <scheme val="none"/>
      </font>
    </dxf>
    <dxf>
      <font>
        <strike val="0"/>
        <outline val="0"/>
        <shadow val="0"/>
        <vertAlign val="baseline"/>
        <name val="Arial"/>
        <family val="2"/>
        <scheme val="none"/>
      </font>
      <numFmt numFmtId="2" formatCode="0.00"/>
      <border diagonalUp="0" diagonalDown="0">
        <left/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strike val="0"/>
        <outline val="0"/>
        <shadow val="0"/>
        <vertAlign val="baseline"/>
        <name val="Arial"/>
        <family val="2"/>
        <scheme val="none"/>
      </font>
      <numFmt numFmtId="2" formatCode="0.00"/>
    </dxf>
    <dxf>
      <font>
        <strike val="0"/>
        <outline val="0"/>
        <shadow val="0"/>
        <vertAlign val="baseline"/>
        <name val="Arial"/>
        <family val="2"/>
        <scheme val="none"/>
      </font>
      <numFmt numFmtId="2" formatCode="0.00"/>
    </dxf>
    <dxf>
      <font>
        <strike val="0"/>
        <outline val="0"/>
        <shadow val="0"/>
        <vertAlign val="baseline"/>
        <name val="Arial"/>
        <family val="2"/>
        <scheme val="none"/>
      </font>
      <numFmt numFmtId="1" formatCode="0"/>
    </dxf>
    <dxf>
      <font>
        <strike val="0"/>
        <outline val="0"/>
        <shadow val="0"/>
        <vertAlign val="baseline"/>
        <name val="Arial"/>
        <family val="2"/>
        <scheme val="none"/>
      </font>
    </dxf>
    <dxf>
      <font>
        <strike val="0"/>
        <outline val="0"/>
        <shadow val="0"/>
        <vertAlign val="baseline"/>
        <name val="Arial"/>
        <family val="2"/>
        <scheme val="none"/>
      </font>
    </dxf>
    <dxf>
      <font>
        <strike val="0"/>
        <outline val="0"/>
        <shadow val="0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Arial"/>
        <family val="2"/>
        <scheme val="none"/>
      </font>
    </dxf>
    <dxf>
      <font>
        <strike val="0"/>
        <outline val="0"/>
        <shadow val="0"/>
        <vertAlign val="baseline"/>
        <name val="Arial"/>
        <family val="2"/>
        <scheme val="none"/>
      </font>
    </dxf>
    <dxf>
      <font>
        <strike val="0"/>
        <outline val="0"/>
        <shadow val="0"/>
        <vertAlign val="baseline"/>
        <name val="Arial"/>
        <family val="2"/>
        <scheme val="none"/>
      </font>
    </dxf>
    <dxf>
      <font>
        <strike val="0"/>
        <outline val="0"/>
        <shadow val="0"/>
        <vertAlign val="baseline"/>
        <name val="Arial"/>
        <family val="2"/>
        <scheme val="none"/>
      </font>
      <fill>
        <patternFill patternType="solid">
          <fgColor indexed="64"/>
          <bgColor rgb="FF0070C0"/>
        </patternFill>
      </fill>
    </dxf>
  </dxfs>
  <tableStyles count="0" defaultTableStyle="TableStyleMedium2" defaultPivotStyle="PivotStyleLight16"/>
  <colors>
    <mruColors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4C786B-E949-495D-91C6-A559246292B1}" name="Table1" displayName="Table1" ref="B6:L78" totalsRowShown="0" headerRowDxfId="12" dataDxfId="11">
  <autoFilter ref="B6:L78" xr:uid="{D54C786B-E949-495D-91C6-A559246292B1}"/>
  <sortState xmlns:xlrd2="http://schemas.microsoft.com/office/spreadsheetml/2017/richdata2" ref="B7:L78">
    <sortCondition ref="B6:B78"/>
  </sortState>
  <tableColumns count="11">
    <tableColumn id="1" xr3:uid="{9F0136C9-DB8A-40AA-9421-7B7B6BF2131D}" name="Pos" dataDxfId="10"/>
    <tableColumn id="2" xr3:uid="{6068D647-F9F4-4716-B6B2-E22786C301A3}" name="Description" dataDxfId="9"/>
    <tableColumn id="3" xr3:uid="{059855AE-7D4E-4C99-B214-D14B843B46D4}" name="Part number" dataDxfId="8"/>
    <tableColumn id="5" xr3:uid="{A9BA032A-21F2-4B8D-92C4-78A69AFF9779}" name="Internal/External" dataDxfId="7"/>
    <tableColumn id="6" xr3:uid="{7D0F5464-D149-4D29-B9F4-AF7E95C64E14}" name="Source" dataDxfId="6"/>
    <tableColumn id="7" xr3:uid="{443B1DDC-62BD-4542-8A38-5169F2676592}" name="Link" dataDxfId="5"/>
    <tableColumn id="4" xr3:uid="{BE25F14E-5DED-402B-B96F-ACC4BFD49773}" name="Qty" dataDxfId="4"/>
    <tableColumn id="8" xr3:uid="{97F86CCE-8ECF-411C-9E89-E024C23BE5C4}" name="Unit price" dataDxfId="3"/>
    <tableColumn id="9" xr3:uid="{7BB24AAB-7BBE-4253-9395-3F131E6111F3}" name="Total price" dataDxfId="2">
      <calculatedColumnFormula>I7*H7</calculatedColumnFormula>
    </tableColumn>
    <tableColumn id="12" xr3:uid="{06CD3569-9F32-4123-B58E-626E9B829B6A}" name="OK" dataDxfId="1"/>
    <tableColumn id="10" xr3:uid="{CBC7F148-4BA7-4959-9FFD-ED749CD8B8F6}" name="Comment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3djake.ch/de-CH/capricorn/xs-ultra-low-friction-ptfe-bowden?sai=3645" TargetMode="External"/><Relationship Id="rId18" Type="http://schemas.openxmlformats.org/officeDocument/2006/relationships/hyperlink" Target="https://www.bastelgarage.ch/jst-ph-crimp-stecker-und-buchsen-2mm-set-40-stuck?search=jst" TargetMode="External"/><Relationship Id="rId26" Type="http://schemas.openxmlformats.org/officeDocument/2006/relationships/hyperlink" Target="https://www.3dware.ch/NEMA-23-Schrittmotor-XL-1.8-Grad,-2.8A-/-8mm-De.htm" TargetMode="External"/><Relationship Id="rId39" Type="http://schemas.openxmlformats.org/officeDocument/2006/relationships/hyperlink" Target="https://www.3dware.ch/Litzen-Kabel-1.00-mm178-Schwarz-10-Meter-De.htm" TargetMode="External"/><Relationship Id="rId21" Type="http://schemas.openxmlformats.org/officeDocument/2006/relationships/hyperlink" Target="https://www.bastelgarage.ch/sortimentskasten-mittel-15-facher?search=sortiment" TargetMode="External"/><Relationship Id="rId34" Type="http://schemas.openxmlformats.org/officeDocument/2006/relationships/hyperlink" Target="https://www.3dware.ch/GT2-9mm-Riemenscheibe-60-Z%C3%A4hne-8mm-Bohrung-De.htm" TargetMode="External"/><Relationship Id="rId42" Type="http://schemas.openxmlformats.org/officeDocument/2006/relationships/hyperlink" Target="https://www.bastelgarage.ch/werkstattbedarf/lotstation-und-zubehor/engineer-swf-08-lotzinn-14g-bleifrei-0-8mm-sn96-5-ag3-cu0-5" TargetMode="External"/><Relationship Id="rId47" Type="http://schemas.openxmlformats.org/officeDocument/2006/relationships/hyperlink" Target="https://www.bastelgarage.ch/3d-drucker/zubehor-3d-druck/m5x8mm-gewindeeinsatze-messing-insert-50stk" TargetMode="External"/><Relationship Id="rId50" Type="http://schemas.openxmlformats.org/officeDocument/2006/relationships/hyperlink" Target="https://www.bastelgarage.ch/2-kanal-relais-modul-5v?search=relais" TargetMode="External"/><Relationship Id="rId55" Type="http://schemas.openxmlformats.org/officeDocument/2006/relationships/hyperlink" Target="https://www.bastelgarage.ch/werkstattbedarf/diverses/schwarze-3x100mm-nylon-kabelbinder-100-stuck" TargetMode="External"/><Relationship Id="rId7" Type="http://schemas.openxmlformats.org/officeDocument/2006/relationships/hyperlink" Target="https://www.3dware.ch/Schwarz-eloxierte-Linearschiene-12mm-/-400mm-lang-De.htm" TargetMode="External"/><Relationship Id="rId2" Type="http://schemas.openxmlformats.org/officeDocument/2006/relationships/hyperlink" Target="https://www.3djake.ch/de-CH/bondtech/cht-bimetal-reprap-duese?sai=14008" TargetMode="External"/><Relationship Id="rId16" Type="http://schemas.openxmlformats.org/officeDocument/2006/relationships/hyperlink" Target="https://www.bastelgarage.ch/crimpzange-2820m-0-08-0-5mm?search=crimpzange" TargetMode="External"/><Relationship Id="rId29" Type="http://schemas.openxmlformats.org/officeDocument/2006/relationships/hyperlink" Target="https://www.bastelgarage.ch/jst-sm-2-54mm-crimp-stecker-und-buchsen-set-40-stuck?search=jst" TargetMode="External"/><Relationship Id="rId11" Type="http://schemas.openxmlformats.org/officeDocument/2006/relationships/hyperlink" Target="https://www.3djake.ch/de-CH/e3d/netzteil" TargetMode="External"/><Relationship Id="rId24" Type="http://schemas.openxmlformats.org/officeDocument/2006/relationships/hyperlink" Target="https://www.3djake.ch/de-CH/flsun/heizbett-inkl-druckplattform" TargetMode="External"/><Relationship Id="rId32" Type="http://schemas.openxmlformats.org/officeDocument/2006/relationships/hyperlink" Target="https://www.3dware.ch/GT2-9mm-Riemenscheibe-20-Z%C3%A4hne-8mm-Bohrung-De.htm" TargetMode="External"/><Relationship Id="rId37" Type="http://schemas.openxmlformats.org/officeDocument/2006/relationships/hyperlink" Target="https://www.bastelgarage.ch/kabel-litzen/litzen-drahte/litze-0-25mm-schwarz-lify-hochflexibel-100m" TargetMode="External"/><Relationship Id="rId40" Type="http://schemas.openxmlformats.org/officeDocument/2006/relationships/hyperlink" Target="https://www.bastelgarage.ch/kabel-litzen/litzen-drahte/litze-0-5mm-20awg-schwarz-halogenfrei" TargetMode="External"/><Relationship Id="rId45" Type="http://schemas.openxmlformats.org/officeDocument/2006/relationships/hyperlink" Target="https://www.bastelgarage.ch/10x10mm-nylon-kabelschlepp-1m?search=kabelschlepp" TargetMode="External"/><Relationship Id="rId53" Type="http://schemas.openxmlformats.org/officeDocument/2006/relationships/hyperlink" Target="https://www.bastelgarage.ch/bauteile/schalter-taster/arcade-taster-button-beleuchtet-33mm-rot" TargetMode="External"/><Relationship Id="rId58" Type="http://schemas.openxmlformats.org/officeDocument/2006/relationships/hyperlink" Target="https://jlc3dp.com/de?spm=Jlc3dp.Homepage.1001" TargetMode="External"/><Relationship Id="rId5" Type="http://schemas.openxmlformats.org/officeDocument/2006/relationships/hyperlink" Target="https://www.3dware.ch/DueX5-Erweiterungsplatine-f%C3%BCr-Duet-De.htm" TargetMode="External"/><Relationship Id="rId61" Type="http://schemas.openxmlformats.org/officeDocument/2006/relationships/table" Target="../tables/table1.xml"/><Relationship Id="rId19" Type="http://schemas.openxmlformats.org/officeDocument/2006/relationships/hyperlink" Target="https://www.bastelgarage.ch/dupont-crimp-stecker-und-buchsen-set-620-stuck?search=dupont" TargetMode="External"/><Relationship Id="rId14" Type="http://schemas.openxmlformats.org/officeDocument/2006/relationships/hyperlink" Target="https://www.3djake.ch/de-CH/bondtech/lgx-steel-drive-train-upgrade-set" TargetMode="External"/><Relationship Id="rId22" Type="http://schemas.openxmlformats.org/officeDocument/2006/relationships/hyperlink" Target="https://www.bastelgarage.ch/8p-10a-elektrischer-schleifring-250rpm?search=drehdurchf%C3%BChrung" TargetMode="External"/><Relationship Id="rId27" Type="http://schemas.openxmlformats.org/officeDocument/2006/relationships/hyperlink" Target="https://www.bastelgarage.ch/creality-42-34-stepper-motor-nema-17-schrittmotor?search=nema%2017" TargetMode="External"/><Relationship Id="rId30" Type="http://schemas.openxmlformats.org/officeDocument/2006/relationships/hyperlink" Target="https://www.3dware.ch/GT2-Riemenscheibe-20-Z%C3%A4hne-CoreXY-5mm-Bohrung-De.htm" TargetMode="External"/><Relationship Id="rId35" Type="http://schemas.openxmlformats.org/officeDocument/2006/relationships/hyperlink" Target="https://www.bastelgarage.ch/mechanische-bauteile/cfk-stabe-rohre/carbon-rohr-o8xo10mm-1m" TargetMode="External"/><Relationship Id="rId43" Type="http://schemas.openxmlformats.org/officeDocument/2006/relationships/hyperlink" Target="https://www.3dware.ch/Rillenkugellager-mit-Flansch-F695ZZ-De.htm" TargetMode="External"/><Relationship Id="rId48" Type="http://schemas.openxmlformats.org/officeDocument/2006/relationships/hyperlink" Target="https://www.bastelgarage.ch/3d-drucker/zubehor-3d-druck/m3x6mm-gewindeeinsatze-messing-insert-50stk" TargetMode="External"/><Relationship Id="rId56" Type="http://schemas.openxmlformats.org/officeDocument/2006/relationships/hyperlink" Target="https://www.bastelgarage.ch/werkstattbedarf/klebstoff-epoxidharze/uhu-plus-endfest-zweikomponenten-epoxidkleber-33g" TargetMode="External"/><Relationship Id="rId8" Type="http://schemas.openxmlformats.org/officeDocument/2006/relationships/hyperlink" Target="https://www.3djake.ch/de-CH/phaetus/rapido-plus-hotend-hf?sai=12879" TargetMode="External"/><Relationship Id="rId51" Type="http://schemas.openxmlformats.org/officeDocument/2006/relationships/hyperlink" Target="https://www.bastelgarage.ch/lm2596-schaltregler-dc-dc-step-down-abwartswandler?search=step-down" TargetMode="External"/><Relationship Id="rId3" Type="http://schemas.openxmlformats.org/officeDocument/2006/relationships/hyperlink" Target="https://www.3djake.ch/de-CH/bondtech/cht-bimetal-reprap-duese?sai=14009" TargetMode="External"/><Relationship Id="rId12" Type="http://schemas.openxmlformats.org/officeDocument/2006/relationships/hyperlink" Target="https://www.bastelgarage.ch/4020-silent-lufter-24v-radial-reparaturset?search=l%C3%BCfter" TargetMode="External"/><Relationship Id="rId17" Type="http://schemas.openxmlformats.org/officeDocument/2006/relationships/hyperlink" Target="https://www.bastelgarage.ch/jst-xh-crimp-stecker-und-buchsen-2-54mm-set-40-stuck?search=jst" TargetMode="External"/><Relationship Id="rId25" Type="http://schemas.openxmlformats.org/officeDocument/2006/relationships/hyperlink" Target="https://www.3djake.ch/de-CH/buildtak/flexplate-system?sai=7832" TargetMode="External"/><Relationship Id="rId33" Type="http://schemas.openxmlformats.org/officeDocument/2006/relationships/hyperlink" Target="https://www.3dware.ch/GT2-Riemenscheibe-40-Z%C3%A4hne-8mm-Bohrung-De.htm" TargetMode="External"/><Relationship Id="rId38" Type="http://schemas.openxmlformats.org/officeDocument/2006/relationships/hyperlink" Target="https://www.3dware.ch/GT2-Riemen-9mm-breit-450mm-lang-De.htm" TargetMode="External"/><Relationship Id="rId46" Type="http://schemas.openxmlformats.org/officeDocument/2006/relationships/hyperlink" Target="https://www.brack.ch/delock-keystone-modul-usb2-0-usb-a-usb-c-1009503" TargetMode="External"/><Relationship Id="rId59" Type="http://schemas.openxmlformats.org/officeDocument/2006/relationships/hyperlink" Target="https://jlccnc.com/" TargetMode="External"/><Relationship Id="rId20" Type="http://schemas.openxmlformats.org/officeDocument/2006/relationships/hyperlink" Target="https://www.bastelgarage.ch/mp1584-3a-schaltregler-dc-dc-step-down-abwartswandler?search=step%20down" TargetMode="External"/><Relationship Id="rId41" Type="http://schemas.openxmlformats.org/officeDocument/2006/relationships/hyperlink" Target="https://www.bastelgarage.ch/xt30-stecker-male-und-female?search=xt30" TargetMode="External"/><Relationship Id="rId54" Type="http://schemas.openxmlformats.org/officeDocument/2006/relationships/hyperlink" Target="https://www.bastelgarage.ch/werkstattbedarf/diverses/schrumpfschlauch-set-diverse-farben-55-stuck-total-15m" TargetMode="External"/><Relationship Id="rId1" Type="http://schemas.openxmlformats.org/officeDocument/2006/relationships/hyperlink" Target="https://www.aliexpress.com/item/1005003466415556.html?spm=a2g0o.productlist.main.3.101714e4D7B9Ly&amp;algo_pvid=f16ec1a9-ce3c-44ef-a83b-f34065d2992a&amp;algo_exp_id=f16ec1a9-ce3c-44ef-a83b-f34065d2992a-1&amp;pdp_ext_f=%7B%22sku_id%22%3A%2212000028525705862%22%7D&amp;pdp_npi=3%40dis%21CHF%2184.4%2150.64%21%21%21%21%21%402122457116787138580286717d0713%2112000028525705862%21sea%21CH%212402965749&amp;curPageLogUid=CYnIz35qAo8W" TargetMode="External"/><Relationship Id="rId6" Type="http://schemas.openxmlformats.org/officeDocument/2006/relationships/hyperlink" Target="https://www.3dware.ch/Creality-Endschalter-De.htm" TargetMode="External"/><Relationship Id="rId15" Type="http://schemas.openxmlformats.org/officeDocument/2006/relationships/hyperlink" Target="https://www.3djake.ch/de-CH/creality-3d-drucker-ersatzteile/radial-luefter-kit?sai=11411" TargetMode="External"/><Relationship Id="rId23" Type="http://schemas.openxmlformats.org/officeDocument/2006/relationships/hyperlink" Target="https://www.3dware.ch/CH-Netzkabel-3-polig-auf-C13-De.htm" TargetMode="External"/><Relationship Id="rId28" Type="http://schemas.openxmlformats.org/officeDocument/2006/relationships/hyperlink" Target="https://www.igus.ch/product/iglidur_PRT_02_LC_J4?artnr=PRT-02-50-LC" TargetMode="External"/><Relationship Id="rId36" Type="http://schemas.openxmlformats.org/officeDocument/2006/relationships/hyperlink" Target="https://www.bastelgarage.ch/kw1-103-7-micro-rollenschalter-endschalter?search=endschalter" TargetMode="External"/><Relationship Id="rId49" Type="http://schemas.openxmlformats.org/officeDocument/2006/relationships/hyperlink" Target="https://www.bastelgarage.ch/mechanische-bauteile/magnete/5v-elektromagnet-8kg-haftkraft" TargetMode="External"/><Relationship Id="rId57" Type="http://schemas.openxmlformats.org/officeDocument/2006/relationships/hyperlink" Target="https://www.bastelgarage.ch/m6x8mm-gewindeeinsatze-messing-insert-50stk?search=gewinde" TargetMode="External"/><Relationship Id="rId10" Type="http://schemas.openxmlformats.org/officeDocument/2006/relationships/hyperlink" Target="https://www.3djake.ch/de-CH/bondtech/lgx-extruder" TargetMode="External"/><Relationship Id="rId31" Type="http://schemas.openxmlformats.org/officeDocument/2006/relationships/hyperlink" Target="https://www.3dware.ch/KP08-8mm-Bohrung-Zinklegierung-Lagerwelle-De.htm" TargetMode="External"/><Relationship Id="rId44" Type="http://schemas.openxmlformats.org/officeDocument/2006/relationships/hyperlink" Target="https://www.3dware.ch/GT2-Riemen-6mm-breit-480mm-lang-De.htm" TargetMode="External"/><Relationship Id="rId52" Type="http://schemas.openxmlformats.org/officeDocument/2006/relationships/hyperlink" Target="https://www.bastelgarage.ch/bauteile/schalter-taster/arcade-taster-button-beleuchtet-33mm-grun" TargetMode="External"/><Relationship Id="rId60" Type="http://schemas.openxmlformats.org/officeDocument/2006/relationships/printerSettings" Target="../printerSettings/printerSettings1.bin"/><Relationship Id="rId4" Type="http://schemas.openxmlformats.org/officeDocument/2006/relationships/hyperlink" Target="https://www.3dware.ch/Duet-2-Wifi-V1.04-De.htm" TargetMode="External"/><Relationship Id="rId9" Type="http://schemas.openxmlformats.org/officeDocument/2006/relationships/hyperlink" Target="https://www.3dmensionals.de/ldo-motors-voron-v2.4r2-drucker-bausatz?number=PHWVO0010V.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44067-4BDB-46B5-9F9B-E9A1CB48D2C1}">
  <sheetPr>
    <pageSetUpPr fitToPage="1"/>
  </sheetPr>
  <dimension ref="B1:O78"/>
  <sheetViews>
    <sheetView tabSelected="1" zoomScale="85" zoomScaleNormal="85" workbookViewId="0">
      <selection activeCell="O16" sqref="O16"/>
    </sheetView>
  </sheetViews>
  <sheetFormatPr defaultColWidth="9" defaultRowHeight="15" x14ac:dyDescent="0.25"/>
  <cols>
    <col min="1" max="2" width="9" style="3"/>
    <col min="3" max="3" width="36.28515625" style="3" customWidth="1"/>
    <col min="4" max="4" width="25" style="19" bestFit="1" customWidth="1"/>
    <col min="6" max="6" width="15.28515625" style="3" bestFit="1" customWidth="1"/>
    <col min="7" max="7" width="7.42578125" style="3" bestFit="1" customWidth="1"/>
    <col min="8" max="8" width="8.7109375" style="3" bestFit="1" customWidth="1"/>
    <col min="9" max="9" width="13.140625" style="4" bestFit="1" customWidth="1"/>
    <col min="10" max="10" width="14.140625" style="5" bestFit="1" customWidth="1"/>
    <col min="11" max="11" width="6.140625" style="5" bestFit="1" customWidth="1"/>
    <col min="12" max="12" width="31.140625" style="5" customWidth="1"/>
    <col min="13" max="14" width="3" style="3" customWidth="1"/>
    <col min="15" max="15" width="19.140625" style="3" customWidth="1"/>
    <col min="16" max="16" width="9" style="3" customWidth="1"/>
    <col min="17" max="16384" width="9" style="3"/>
  </cols>
  <sheetData>
    <row r="1" spans="2:15" ht="14.25" x14ac:dyDescent="0.2">
      <c r="E1" s="3"/>
      <c r="H1" s="4"/>
      <c r="I1" s="5"/>
      <c r="L1" s="3"/>
    </row>
    <row r="2" spans="2:15" ht="18" x14ac:dyDescent="0.25">
      <c r="B2" s="2" t="s">
        <v>0</v>
      </c>
      <c r="E2" s="3"/>
      <c r="H2" s="4"/>
      <c r="I2" s="5" t="s">
        <v>1</v>
      </c>
      <c r="J2" s="6">
        <f>SUM(Table1[Total price])</f>
        <v>4553.88</v>
      </c>
      <c r="K2" s="7" t="s">
        <v>2</v>
      </c>
      <c r="L2" s="3"/>
      <c r="O2" s="8" t="s">
        <v>3</v>
      </c>
    </row>
    <row r="3" spans="2:15" ht="14.25" x14ac:dyDescent="0.2">
      <c r="C3" s="9"/>
      <c r="D3" s="20"/>
      <c r="E3" s="3"/>
      <c r="H3" s="4"/>
      <c r="I3" s="5"/>
      <c r="L3" s="3"/>
      <c r="N3" s="10"/>
      <c r="O3" s="3" t="s">
        <v>4</v>
      </c>
    </row>
    <row r="4" spans="2:15" ht="14.25" x14ac:dyDescent="0.2">
      <c r="B4" s="3" t="s">
        <v>5</v>
      </c>
      <c r="C4" s="3" t="s">
        <v>6</v>
      </c>
      <c r="E4" s="3"/>
      <c r="H4" s="4"/>
      <c r="I4" s="5"/>
      <c r="L4" s="3"/>
      <c r="N4" s="11"/>
      <c r="O4" s="3" t="s">
        <v>7</v>
      </c>
    </row>
    <row r="5" spans="2:15" ht="14.25" x14ac:dyDescent="0.2">
      <c r="E5" s="3"/>
      <c r="H5" s="4"/>
      <c r="I5" s="5"/>
      <c r="L5" s="3"/>
      <c r="N5" s="23"/>
      <c r="O5" s="3" t="s">
        <v>8</v>
      </c>
    </row>
    <row r="6" spans="2:15" ht="14.25" x14ac:dyDescent="0.2">
      <c r="B6" s="12" t="s">
        <v>9</v>
      </c>
      <c r="C6" s="12" t="s">
        <v>10</v>
      </c>
      <c r="D6" s="21" t="s">
        <v>11</v>
      </c>
      <c r="E6" s="12" t="s">
        <v>12</v>
      </c>
      <c r="F6" s="12" t="s">
        <v>13</v>
      </c>
      <c r="G6" s="12" t="s">
        <v>14</v>
      </c>
      <c r="H6" s="13" t="s">
        <v>15</v>
      </c>
      <c r="I6" s="14" t="s">
        <v>16</v>
      </c>
      <c r="J6" s="14" t="s">
        <v>17</v>
      </c>
      <c r="K6" s="15" t="s">
        <v>18</v>
      </c>
      <c r="L6" s="16" t="s">
        <v>113</v>
      </c>
      <c r="N6" s="17"/>
      <c r="O6" s="3" t="s">
        <v>19</v>
      </c>
    </row>
    <row r="7" spans="2:15" ht="14.25" customHeight="1" x14ac:dyDescent="0.25">
      <c r="B7" s="29">
        <v>10</v>
      </c>
      <c r="C7" s="3" t="s">
        <v>20</v>
      </c>
      <c r="D7" s="19" t="s">
        <v>21</v>
      </c>
      <c r="E7" s="3" t="s">
        <v>22</v>
      </c>
      <c r="F7" s="3" t="s">
        <v>23</v>
      </c>
      <c r="G7" s="1" t="s">
        <v>14</v>
      </c>
      <c r="H7" s="4">
        <v>1</v>
      </c>
      <c r="I7" s="5">
        <v>61.3</v>
      </c>
      <c r="J7" s="5">
        <f t="shared" ref="J7:J38" si="0">I7*H7</f>
        <v>61.3</v>
      </c>
      <c r="K7" s="26"/>
      <c r="L7" s="3"/>
      <c r="N7" s="25"/>
      <c r="O7" s="3" t="s">
        <v>24</v>
      </c>
    </row>
    <row r="8" spans="2:15" ht="14.25" customHeight="1" x14ac:dyDescent="0.25">
      <c r="B8" s="29">
        <v>20</v>
      </c>
      <c r="C8" s="3" t="s">
        <v>46</v>
      </c>
      <c r="D8" s="19">
        <v>1901044.31</v>
      </c>
      <c r="E8" s="3" t="s">
        <v>22</v>
      </c>
      <c r="F8" s="3" t="s">
        <v>47</v>
      </c>
      <c r="G8" s="1" t="s">
        <v>14</v>
      </c>
      <c r="H8" s="4">
        <v>1</v>
      </c>
      <c r="I8" s="5">
        <v>37.950000000000003</v>
      </c>
      <c r="J8" s="5">
        <f t="shared" si="0"/>
        <v>37.950000000000003</v>
      </c>
      <c r="K8" s="26"/>
      <c r="L8" s="3"/>
    </row>
    <row r="9" spans="2:15" ht="14.25" customHeight="1" x14ac:dyDescent="0.25">
      <c r="B9" s="29">
        <v>30</v>
      </c>
      <c r="C9" s="3" t="s">
        <v>25</v>
      </c>
      <c r="D9" s="19" t="s">
        <v>26</v>
      </c>
      <c r="E9" s="3" t="s">
        <v>22</v>
      </c>
      <c r="F9" s="3" t="s">
        <v>23</v>
      </c>
      <c r="G9" s="1" t="s">
        <v>14</v>
      </c>
      <c r="H9" s="18">
        <v>1</v>
      </c>
      <c r="I9" s="5">
        <v>112.4</v>
      </c>
      <c r="J9" s="5">
        <f t="shared" si="0"/>
        <v>112.4</v>
      </c>
      <c r="K9" s="26"/>
      <c r="L9" s="3"/>
      <c r="O9" s="5"/>
    </row>
    <row r="10" spans="2:15" ht="14.25" customHeight="1" x14ac:dyDescent="0.25">
      <c r="B10" s="29">
        <v>40</v>
      </c>
      <c r="C10" s="3" t="s">
        <v>43</v>
      </c>
      <c r="D10" s="19" t="s">
        <v>44</v>
      </c>
      <c r="E10" s="3" t="s">
        <v>22</v>
      </c>
      <c r="F10" s="3" t="s">
        <v>45</v>
      </c>
      <c r="G10" s="1" t="s">
        <v>14</v>
      </c>
      <c r="H10" s="18">
        <v>1</v>
      </c>
      <c r="I10" s="5">
        <v>1591.34</v>
      </c>
      <c r="J10" s="5">
        <f t="shared" si="0"/>
        <v>1591.34</v>
      </c>
      <c r="K10" s="26"/>
      <c r="L10" s="3"/>
      <c r="O10" s="5"/>
    </row>
    <row r="11" spans="2:15" ht="14.25" customHeight="1" x14ac:dyDescent="0.25">
      <c r="B11" s="29">
        <v>50</v>
      </c>
      <c r="C11" s="3" t="s">
        <v>48</v>
      </c>
      <c r="D11" s="19">
        <v>1900348.7</v>
      </c>
      <c r="E11" s="3" t="s">
        <v>22</v>
      </c>
      <c r="F11" s="3" t="s">
        <v>47</v>
      </c>
      <c r="G11" s="1" t="s">
        <v>14</v>
      </c>
      <c r="H11" s="18">
        <v>1</v>
      </c>
      <c r="I11" s="5">
        <v>242.95</v>
      </c>
      <c r="J11" s="5">
        <f t="shared" si="0"/>
        <v>242.95</v>
      </c>
      <c r="K11" s="26"/>
      <c r="L11" s="3"/>
    </row>
    <row r="12" spans="2:15" x14ac:dyDescent="0.25">
      <c r="B12" s="29">
        <v>60</v>
      </c>
      <c r="C12" s="3" t="s">
        <v>49</v>
      </c>
      <c r="D12" s="19">
        <v>1900348.5</v>
      </c>
      <c r="E12" s="3" t="s">
        <v>22</v>
      </c>
      <c r="F12" s="3" t="s">
        <v>47</v>
      </c>
      <c r="G12" s="1" t="s">
        <v>14</v>
      </c>
      <c r="H12" s="18">
        <v>1</v>
      </c>
      <c r="I12" s="5">
        <v>139.94999999999999</v>
      </c>
      <c r="J12" s="5">
        <f t="shared" si="0"/>
        <v>139.94999999999999</v>
      </c>
      <c r="K12" s="26"/>
      <c r="L12" s="3"/>
      <c r="O12" s="5"/>
    </row>
    <row r="13" spans="2:15" x14ac:dyDescent="0.25">
      <c r="B13" s="29">
        <v>70</v>
      </c>
      <c r="C13" s="3" t="s">
        <v>62</v>
      </c>
      <c r="D13" s="19" t="s">
        <v>63</v>
      </c>
      <c r="E13" s="3" t="s">
        <v>22</v>
      </c>
      <c r="F13" s="3" t="s">
        <v>64</v>
      </c>
      <c r="G13" s="1" t="s">
        <v>14</v>
      </c>
      <c r="H13" s="18">
        <v>1</v>
      </c>
      <c r="I13" s="5">
        <v>56.27</v>
      </c>
      <c r="J13" s="5">
        <f t="shared" si="0"/>
        <v>56.27</v>
      </c>
      <c r="K13" s="26"/>
      <c r="L13" s="3"/>
      <c r="O13" s="5"/>
    </row>
    <row r="14" spans="2:15" x14ac:dyDescent="0.25">
      <c r="B14" s="29">
        <v>80</v>
      </c>
      <c r="C14" s="3" t="s">
        <v>50</v>
      </c>
      <c r="D14" s="19">
        <v>1900723.1</v>
      </c>
      <c r="E14" s="3" t="s">
        <v>22</v>
      </c>
      <c r="F14" s="3" t="s">
        <v>47</v>
      </c>
      <c r="G14" s="1" t="s">
        <v>14</v>
      </c>
      <c r="H14" s="18">
        <v>5</v>
      </c>
      <c r="I14" s="5">
        <v>4.95</v>
      </c>
      <c r="J14" s="5">
        <f t="shared" si="0"/>
        <v>24.75</v>
      </c>
      <c r="K14" s="26"/>
      <c r="L14" s="3"/>
    </row>
    <row r="15" spans="2:15" x14ac:dyDescent="0.25">
      <c r="B15" s="3">
        <v>81</v>
      </c>
      <c r="C15" s="3" t="s">
        <v>51</v>
      </c>
      <c r="D15" s="19">
        <v>1900824.1</v>
      </c>
      <c r="E15" s="3" t="s">
        <v>22</v>
      </c>
      <c r="F15" s="3" t="s">
        <v>47</v>
      </c>
      <c r="G15" s="24" t="s">
        <v>14</v>
      </c>
      <c r="H15" s="4">
        <v>1</v>
      </c>
      <c r="I15" s="5">
        <v>5.2</v>
      </c>
      <c r="J15" s="5">
        <f t="shared" si="0"/>
        <v>5.2</v>
      </c>
      <c r="K15" s="26"/>
      <c r="L15" s="3"/>
    </row>
    <row r="16" spans="2:15" x14ac:dyDescent="0.25">
      <c r="B16" s="29">
        <v>90</v>
      </c>
      <c r="C16" s="3" t="s">
        <v>27</v>
      </c>
      <c r="D16" s="19" t="s">
        <v>28</v>
      </c>
      <c r="E16" s="3" t="s">
        <v>22</v>
      </c>
      <c r="F16" s="3" t="s">
        <v>23</v>
      </c>
      <c r="G16" s="1" t="s">
        <v>14</v>
      </c>
      <c r="H16" s="18">
        <v>1</v>
      </c>
      <c r="I16" s="5">
        <v>47.95</v>
      </c>
      <c r="J16" s="5">
        <f t="shared" si="0"/>
        <v>47.95</v>
      </c>
      <c r="K16" s="26"/>
      <c r="L16" s="3"/>
    </row>
    <row r="17" spans="2:15" ht="14.25" customHeight="1" x14ac:dyDescent="0.25">
      <c r="B17" s="29">
        <v>100</v>
      </c>
      <c r="C17" s="3" t="s">
        <v>29</v>
      </c>
      <c r="D17" s="19" t="s">
        <v>30</v>
      </c>
      <c r="E17" s="3" t="s">
        <v>22</v>
      </c>
      <c r="F17" s="3" t="s">
        <v>23</v>
      </c>
      <c r="G17" s="1" t="s">
        <v>14</v>
      </c>
      <c r="H17" s="18">
        <v>1</v>
      </c>
      <c r="I17" s="5">
        <v>47.95</v>
      </c>
      <c r="J17" s="5">
        <f t="shared" si="0"/>
        <v>47.95</v>
      </c>
      <c r="K17" s="26"/>
      <c r="L17" s="3"/>
    </row>
    <row r="18" spans="2:15" ht="14.25" customHeight="1" x14ac:dyDescent="0.25">
      <c r="B18" s="3">
        <v>110</v>
      </c>
      <c r="C18" s="3" t="s">
        <v>31</v>
      </c>
      <c r="D18" s="22" t="s">
        <v>32</v>
      </c>
      <c r="E18" s="3" t="s">
        <v>22</v>
      </c>
      <c r="F18" s="3" t="s">
        <v>23</v>
      </c>
      <c r="G18" s="1" t="s">
        <v>14</v>
      </c>
      <c r="H18" s="4">
        <v>1</v>
      </c>
      <c r="I18" s="5">
        <v>118.7</v>
      </c>
      <c r="J18" s="5">
        <f t="shared" si="0"/>
        <v>118.7</v>
      </c>
      <c r="K18" s="26"/>
      <c r="L18" s="3"/>
    </row>
    <row r="19" spans="2:15" ht="13.5" customHeight="1" x14ac:dyDescent="0.25">
      <c r="B19" s="3">
        <v>120</v>
      </c>
      <c r="C19" s="3" t="s">
        <v>65</v>
      </c>
      <c r="D19" s="19">
        <v>421546</v>
      </c>
      <c r="E19" s="3" t="s">
        <v>22</v>
      </c>
      <c r="F19" s="3" t="s">
        <v>66</v>
      </c>
      <c r="G19" s="1" t="s">
        <v>14</v>
      </c>
      <c r="H19" s="4">
        <v>1</v>
      </c>
      <c r="I19" s="5">
        <v>36.9</v>
      </c>
      <c r="J19" s="5">
        <f t="shared" si="0"/>
        <v>36.9</v>
      </c>
      <c r="K19" s="26"/>
      <c r="L19" s="3"/>
    </row>
    <row r="20" spans="2:15" ht="13.5" customHeight="1" x14ac:dyDescent="0.25">
      <c r="B20" s="3">
        <v>130</v>
      </c>
      <c r="C20" s="3" t="s">
        <v>52</v>
      </c>
      <c r="D20" s="19">
        <v>1900509.8759999999</v>
      </c>
      <c r="E20" s="3" t="s">
        <v>22</v>
      </c>
      <c r="F20" s="3" t="s">
        <v>47</v>
      </c>
      <c r="G20" s="1" t="s">
        <v>14</v>
      </c>
      <c r="H20" s="4">
        <v>1</v>
      </c>
      <c r="I20" s="5">
        <v>48.95</v>
      </c>
      <c r="J20" s="5">
        <f t="shared" si="0"/>
        <v>48.95</v>
      </c>
      <c r="K20" s="26"/>
      <c r="L20" s="3"/>
      <c r="O20" s="5"/>
    </row>
    <row r="21" spans="2:15" ht="13.5" customHeight="1" x14ac:dyDescent="0.25">
      <c r="B21" s="3">
        <v>140</v>
      </c>
      <c r="C21" s="3" t="s">
        <v>67</v>
      </c>
      <c r="D21" s="19">
        <v>421173</v>
      </c>
      <c r="E21" s="3" t="s">
        <v>22</v>
      </c>
      <c r="F21" s="3" t="s">
        <v>66</v>
      </c>
      <c r="G21" s="1" t="s">
        <v>14</v>
      </c>
      <c r="H21" s="4">
        <v>1</v>
      </c>
      <c r="I21" s="5">
        <v>19.899999999999999</v>
      </c>
      <c r="J21" s="5">
        <f t="shared" si="0"/>
        <v>19.899999999999999</v>
      </c>
      <c r="K21" s="26"/>
      <c r="L21" s="3"/>
    </row>
    <row r="22" spans="2:15" ht="13.5" customHeight="1" x14ac:dyDescent="0.25">
      <c r="B22" s="3">
        <v>150</v>
      </c>
      <c r="C22" s="3" t="s">
        <v>68</v>
      </c>
      <c r="D22" s="19">
        <v>421472</v>
      </c>
      <c r="E22" s="3" t="s">
        <v>22</v>
      </c>
      <c r="F22" s="3" t="s">
        <v>66</v>
      </c>
      <c r="G22" s="1" t="s">
        <v>14</v>
      </c>
      <c r="H22" s="4">
        <v>2</v>
      </c>
      <c r="I22" s="5">
        <v>2.5</v>
      </c>
      <c r="J22" s="5">
        <f t="shared" si="0"/>
        <v>5</v>
      </c>
      <c r="K22" s="26"/>
      <c r="L22" s="3"/>
    </row>
    <row r="23" spans="2:15" ht="13.5" customHeight="1" x14ac:dyDescent="0.25">
      <c r="B23" s="3">
        <v>160</v>
      </c>
      <c r="C23" s="3" t="s">
        <v>53</v>
      </c>
      <c r="D23" s="19">
        <v>1900952.2</v>
      </c>
      <c r="E23" s="3" t="s">
        <v>22</v>
      </c>
      <c r="F23" s="3" t="s">
        <v>47</v>
      </c>
      <c r="G23" s="1" t="s">
        <v>14</v>
      </c>
      <c r="H23" s="4">
        <v>1</v>
      </c>
      <c r="I23" s="5">
        <v>3.8</v>
      </c>
      <c r="J23" s="5">
        <f t="shared" si="0"/>
        <v>3.8</v>
      </c>
      <c r="K23" s="26"/>
      <c r="L23" s="3"/>
      <c r="O23" s="5"/>
    </row>
    <row r="24" spans="2:15" ht="13.5" customHeight="1" x14ac:dyDescent="0.25">
      <c r="B24" s="3">
        <v>170</v>
      </c>
      <c r="C24" s="3" t="s">
        <v>69</v>
      </c>
      <c r="D24" s="19">
        <v>422200</v>
      </c>
      <c r="E24" s="3" t="s">
        <v>22</v>
      </c>
      <c r="F24" s="3" t="s">
        <v>66</v>
      </c>
      <c r="G24" s="1" t="s">
        <v>14</v>
      </c>
      <c r="H24" s="4">
        <v>1</v>
      </c>
      <c r="I24" s="5">
        <v>32.9</v>
      </c>
      <c r="J24" s="5">
        <f t="shared" si="0"/>
        <v>32.9</v>
      </c>
      <c r="K24" s="26"/>
      <c r="L24" s="3"/>
    </row>
    <row r="25" spans="2:15" ht="14.25" customHeight="1" x14ac:dyDescent="0.25">
      <c r="B25" s="3">
        <v>171</v>
      </c>
      <c r="C25" s="3" t="s">
        <v>106</v>
      </c>
      <c r="D25" s="19">
        <v>420752</v>
      </c>
      <c r="E25" s="3" t="s">
        <v>22</v>
      </c>
      <c r="F25" s="3" t="s">
        <v>66</v>
      </c>
      <c r="G25" s="1" t="s">
        <v>14</v>
      </c>
      <c r="H25" s="4">
        <v>10</v>
      </c>
      <c r="I25" s="5">
        <v>0.55000000000000004</v>
      </c>
      <c r="J25" s="5">
        <f t="shared" si="0"/>
        <v>5.5</v>
      </c>
      <c r="K25" s="26"/>
      <c r="L25" s="3"/>
      <c r="O25" s="5"/>
    </row>
    <row r="26" spans="2:15" ht="13.5" customHeight="1" x14ac:dyDescent="0.25">
      <c r="B26" s="3">
        <v>180</v>
      </c>
      <c r="C26" s="3" t="s">
        <v>54</v>
      </c>
      <c r="D26" s="19">
        <v>1900859.22</v>
      </c>
      <c r="E26" s="3" t="s">
        <v>22</v>
      </c>
      <c r="F26" s="3" t="s">
        <v>47</v>
      </c>
      <c r="G26" s="1" t="s">
        <v>14</v>
      </c>
      <c r="H26" s="4">
        <v>1</v>
      </c>
      <c r="I26" s="5">
        <v>7.45</v>
      </c>
      <c r="J26" s="5">
        <f t="shared" si="0"/>
        <v>7.45</v>
      </c>
      <c r="K26" s="26"/>
      <c r="L26" s="3"/>
    </row>
    <row r="27" spans="2:15" ht="13.5" customHeight="1" x14ac:dyDescent="0.25">
      <c r="B27" s="3">
        <v>190</v>
      </c>
      <c r="C27" s="3" t="s">
        <v>70</v>
      </c>
      <c r="D27" s="19">
        <v>421794</v>
      </c>
      <c r="E27" s="3" t="s">
        <v>22</v>
      </c>
      <c r="F27" s="3" t="s">
        <v>66</v>
      </c>
      <c r="G27" s="1" t="s">
        <v>14</v>
      </c>
      <c r="H27" s="4">
        <v>1</v>
      </c>
      <c r="I27" s="5">
        <v>7.9</v>
      </c>
      <c r="J27" s="5">
        <f t="shared" si="0"/>
        <v>7.9</v>
      </c>
      <c r="K27" s="26"/>
      <c r="L27" s="3"/>
    </row>
    <row r="28" spans="2:15" ht="13.5" customHeight="1" x14ac:dyDescent="0.25">
      <c r="B28" s="29">
        <v>200</v>
      </c>
      <c r="C28" s="3" t="s">
        <v>71</v>
      </c>
      <c r="D28" s="19">
        <v>420674</v>
      </c>
      <c r="E28" s="3" t="s">
        <v>22</v>
      </c>
      <c r="F28" s="3" t="s">
        <v>66</v>
      </c>
      <c r="G28" s="24" t="s">
        <v>14</v>
      </c>
      <c r="H28" s="4">
        <v>1</v>
      </c>
      <c r="I28" s="5">
        <v>34.9</v>
      </c>
      <c r="J28" s="5">
        <f t="shared" si="0"/>
        <v>34.9</v>
      </c>
      <c r="K28" s="26"/>
      <c r="L28" s="3"/>
    </row>
    <row r="29" spans="2:15" ht="13.5" customHeight="1" x14ac:dyDescent="0.25">
      <c r="B29" s="3">
        <v>210</v>
      </c>
      <c r="C29" s="3" t="s">
        <v>72</v>
      </c>
      <c r="D29" s="19">
        <v>420207</v>
      </c>
      <c r="E29" s="3" t="s">
        <v>22</v>
      </c>
      <c r="F29" s="3" t="s">
        <v>66</v>
      </c>
      <c r="G29" s="24" t="s">
        <v>14</v>
      </c>
      <c r="H29" s="4">
        <v>1</v>
      </c>
      <c r="I29" s="5">
        <v>13.9</v>
      </c>
      <c r="J29" s="5">
        <f t="shared" si="0"/>
        <v>13.9</v>
      </c>
      <c r="K29" s="26"/>
      <c r="L29" s="3"/>
    </row>
    <row r="30" spans="2:15" ht="14.25" customHeight="1" x14ac:dyDescent="0.25">
      <c r="B30" s="3">
        <v>220</v>
      </c>
      <c r="C30" s="3" t="s">
        <v>73</v>
      </c>
      <c r="D30" s="19">
        <v>420381</v>
      </c>
      <c r="E30" s="3" t="s">
        <v>22</v>
      </c>
      <c r="F30" s="3" t="s">
        <v>66</v>
      </c>
      <c r="G30" s="24" t="s">
        <v>14</v>
      </c>
      <c r="H30" s="4">
        <v>1</v>
      </c>
      <c r="I30" s="5">
        <v>13.9</v>
      </c>
      <c r="J30" s="5">
        <f t="shared" si="0"/>
        <v>13.9</v>
      </c>
      <c r="K30" s="26"/>
      <c r="L30" s="3"/>
    </row>
    <row r="31" spans="2:15" ht="14.25" customHeight="1" x14ac:dyDescent="0.25">
      <c r="B31" s="3">
        <v>230</v>
      </c>
      <c r="C31" s="3" t="s">
        <v>111</v>
      </c>
      <c r="D31" s="19">
        <v>420382</v>
      </c>
      <c r="E31" s="3" t="s">
        <v>22</v>
      </c>
      <c r="F31" s="3" t="s">
        <v>66</v>
      </c>
      <c r="G31" s="1" t="s">
        <v>14</v>
      </c>
      <c r="H31" s="4">
        <v>1</v>
      </c>
      <c r="I31" s="5">
        <v>19.5</v>
      </c>
      <c r="J31" s="5">
        <f t="shared" si="0"/>
        <v>19.5</v>
      </c>
      <c r="K31" s="26"/>
      <c r="L31" s="3"/>
    </row>
    <row r="32" spans="2:15" ht="14.25" customHeight="1" x14ac:dyDescent="0.25">
      <c r="B32" s="3">
        <v>240</v>
      </c>
      <c r="C32" s="3" t="s">
        <v>33</v>
      </c>
      <c r="D32" s="19" t="s">
        <v>34</v>
      </c>
      <c r="E32" s="3" t="s">
        <v>22</v>
      </c>
      <c r="F32" s="3" t="s">
        <v>23</v>
      </c>
      <c r="G32" s="1" t="s">
        <v>14</v>
      </c>
      <c r="H32" s="4">
        <v>1</v>
      </c>
      <c r="I32" s="5">
        <v>25.55</v>
      </c>
      <c r="J32" s="5">
        <f t="shared" si="0"/>
        <v>25.55</v>
      </c>
      <c r="K32" s="26"/>
      <c r="L32" s="3"/>
    </row>
    <row r="33" spans="2:15" ht="13.5" customHeight="1" x14ac:dyDescent="0.25">
      <c r="B33" s="3">
        <v>250</v>
      </c>
      <c r="C33" s="3" t="s">
        <v>35</v>
      </c>
      <c r="D33" s="19" t="s">
        <v>36</v>
      </c>
      <c r="E33" s="3" t="s">
        <v>22</v>
      </c>
      <c r="F33" s="3" t="s">
        <v>23</v>
      </c>
      <c r="G33" s="1" t="s">
        <v>14</v>
      </c>
      <c r="H33" s="4">
        <v>1</v>
      </c>
      <c r="I33" s="5">
        <v>42.9</v>
      </c>
      <c r="J33" s="5">
        <f t="shared" si="0"/>
        <v>42.9</v>
      </c>
      <c r="K33" s="27"/>
      <c r="L33" s="3"/>
      <c r="O33" s="5"/>
    </row>
    <row r="34" spans="2:15" ht="14.25" customHeight="1" x14ac:dyDescent="0.25">
      <c r="B34" s="3">
        <v>260</v>
      </c>
      <c r="C34" s="3" t="s">
        <v>37</v>
      </c>
      <c r="D34" s="19" t="s">
        <v>38</v>
      </c>
      <c r="E34" s="3" t="s">
        <v>22</v>
      </c>
      <c r="F34" s="3" t="s">
        <v>23</v>
      </c>
      <c r="G34" s="1" t="s">
        <v>14</v>
      </c>
      <c r="H34" s="4">
        <v>2</v>
      </c>
      <c r="I34" s="5">
        <v>5.0999999999999996</v>
      </c>
      <c r="J34" s="5">
        <f t="shared" si="0"/>
        <v>10.199999999999999</v>
      </c>
      <c r="K34" s="26"/>
      <c r="L34" s="3"/>
    </row>
    <row r="35" spans="2:15" ht="14.25" customHeight="1" x14ac:dyDescent="0.25">
      <c r="B35" s="3">
        <v>270</v>
      </c>
      <c r="C35" s="3" t="s">
        <v>74</v>
      </c>
      <c r="D35" s="19">
        <v>420478</v>
      </c>
      <c r="E35" s="3" t="s">
        <v>22</v>
      </c>
      <c r="F35" s="3" t="s">
        <v>66</v>
      </c>
      <c r="G35" s="1" t="s">
        <v>14</v>
      </c>
      <c r="H35" s="4">
        <v>2</v>
      </c>
      <c r="I35" s="5">
        <v>2.9</v>
      </c>
      <c r="J35" s="5">
        <f t="shared" si="0"/>
        <v>5.8</v>
      </c>
      <c r="K35" s="26"/>
      <c r="L35" s="3"/>
    </row>
    <row r="36" spans="2:15" ht="13.5" customHeight="1" x14ac:dyDescent="0.25">
      <c r="B36" s="3">
        <v>290</v>
      </c>
      <c r="C36" s="3" t="s">
        <v>75</v>
      </c>
      <c r="D36" s="19">
        <v>420253</v>
      </c>
      <c r="E36" s="3" t="s">
        <v>22</v>
      </c>
      <c r="F36" s="3" t="s">
        <v>66</v>
      </c>
      <c r="G36" s="1" t="s">
        <v>14</v>
      </c>
      <c r="H36" s="4">
        <v>3</v>
      </c>
      <c r="I36" s="5">
        <v>3.9</v>
      </c>
      <c r="J36" s="5">
        <f t="shared" si="0"/>
        <v>11.7</v>
      </c>
      <c r="K36" s="26"/>
      <c r="L36" s="3"/>
    </row>
    <row r="37" spans="2:15" ht="14.25" customHeight="1" x14ac:dyDescent="0.25">
      <c r="B37" s="29">
        <v>300</v>
      </c>
      <c r="C37" s="3" t="s">
        <v>76</v>
      </c>
      <c r="D37" s="19">
        <v>421229</v>
      </c>
      <c r="E37" s="3" t="s">
        <v>22</v>
      </c>
      <c r="F37" s="3" t="s">
        <v>66</v>
      </c>
      <c r="G37" s="24" t="s">
        <v>14</v>
      </c>
      <c r="H37" s="4">
        <v>1</v>
      </c>
      <c r="I37" s="5">
        <v>13.9</v>
      </c>
      <c r="J37" s="5">
        <f t="shared" si="0"/>
        <v>13.9</v>
      </c>
      <c r="K37" s="26"/>
      <c r="L37" s="3"/>
    </row>
    <row r="38" spans="2:15" ht="14.25" customHeight="1" x14ac:dyDescent="0.25">
      <c r="B38" s="3">
        <v>310</v>
      </c>
      <c r="C38" s="3" t="s">
        <v>39</v>
      </c>
      <c r="D38" s="19" t="s">
        <v>40</v>
      </c>
      <c r="E38" s="3" t="s">
        <v>22</v>
      </c>
      <c r="F38" s="3" t="s">
        <v>23</v>
      </c>
      <c r="G38" s="1" t="s">
        <v>14</v>
      </c>
      <c r="H38" s="4">
        <v>1</v>
      </c>
      <c r="I38" s="5">
        <v>30.65</v>
      </c>
      <c r="J38" s="5">
        <f t="shared" si="0"/>
        <v>30.65</v>
      </c>
      <c r="K38" s="26"/>
      <c r="L38" s="3"/>
    </row>
    <row r="39" spans="2:15" ht="14.25" customHeight="1" x14ac:dyDescent="0.25">
      <c r="B39" s="3">
        <v>320</v>
      </c>
      <c r="C39" s="3" t="s">
        <v>41</v>
      </c>
      <c r="D39" s="19" t="s">
        <v>42</v>
      </c>
      <c r="E39" s="3" t="s">
        <v>22</v>
      </c>
      <c r="F39" s="3" t="s">
        <v>23</v>
      </c>
      <c r="G39" s="1" t="s">
        <v>14</v>
      </c>
      <c r="H39" s="4">
        <v>1</v>
      </c>
      <c r="I39" s="5">
        <v>65.39</v>
      </c>
      <c r="J39" s="5">
        <f t="shared" ref="J39:J70" si="1">I39*H39</f>
        <v>65.39</v>
      </c>
      <c r="K39" s="26"/>
      <c r="L39" s="3"/>
    </row>
    <row r="40" spans="2:15" ht="13.5" customHeight="1" x14ac:dyDescent="0.25">
      <c r="B40" s="3">
        <v>340</v>
      </c>
      <c r="C40" s="3" t="s">
        <v>91</v>
      </c>
      <c r="D40" s="19">
        <v>1009503</v>
      </c>
      <c r="E40" s="3" t="s">
        <v>22</v>
      </c>
      <c r="F40" s="3" t="s">
        <v>92</v>
      </c>
      <c r="G40" s="1" t="s">
        <v>14</v>
      </c>
      <c r="H40" s="4">
        <v>1</v>
      </c>
      <c r="I40" s="5">
        <v>11.45</v>
      </c>
      <c r="J40" s="5">
        <f t="shared" si="1"/>
        <v>11.45</v>
      </c>
      <c r="K40" s="26"/>
      <c r="L40" s="3"/>
    </row>
    <row r="41" spans="2:15" ht="13.5" customHeight="1" x14ac:dyDescent="0.25">
      <c r="B41" s="3">
        <v>350</v>
      </c>
      <c r="C41" s="3" t="s">
        <v>93</v>
      </c>
      <c r="D41" s="19" t="s">
        <v>94</v>
      </c>
      <c r="E41" s="3" t="s">
        <v>22</v>
      </c>
      <c r="F41" s="3" t="s">
        <v>95</v>
      </c>
      <c r="G41" s="1" t="s">
        <v>14</v>
      </c>
      <c r="H41" s="4">
        <v>1</v>
      </c>
      <c r="I41" s="5">
        <v>99.93</v>
      </c>
      <c r="J41" s="5">
        <f t="shared" si="1"/>
        <v>99.93</v>
      </c>
      <c r="K41" s="26"/>
      <c r="L41" s="3"/>
    </row>
    <row r="42" spans="2:15" ht="14.25" customHeight="1" x14ac:dyDescent="0.25">
      <c r="B42" s="3">
        <v>380</v>
      </c>
      <c r="C42" s="3" t="s">
        <v>77</v>
      </c>
      <c r="D42" s="19">
        <v>421196</v>
      </c>
      <c r="E42" s="3" t="s">
        <v>22</v>
      </c>
      <c r="F42" s="3" t="s">
        <v>66</v>
      </c>
      <c r="G42" s="24" t="s">
        <v>14</v>
      </c>
      <c r="H42" s="4">
        <v>1</v>
      </c>
      <c r="I42" s="5">
        <v>11.9</v>
      </c>
      <c r="J42" s="5">
        <f t="shared" si="1"/>
        <v>11.9</v>
      </c>
      <c r="K42" s="26"/>
      <c r="L42" s="3"/>
    </row>
    <row r="43" spans="2:15" ht="14.25" customHeight="1" x14ac:dyDescent="0.25">
      <c r="B43" s="3">
        <v>390</v>
      </c>
      <c r="C43" s="3" t="s">
        <v>78</v>
      </c>
      <c r="D43" s="19">
        <v>421890</v>
      </c>
      <c r="E43" s="3" t="s">
        <v>22</v>
      </c>
      <c r="F43" s="3" t="s">
        <v>66</v>
      </c>
      <c r="G43" s="24" t="s">
        <v>14</v>
      </c>
      <c r="H43" s="4">
        <v>1</v>
      </c>
      <c r="I43" s="5">
        <v>10.5</v>
      </c>
      <c r="J43" s="5">
        <f t="shared" si="1"/>
        <v>10.5</v>
      </c>
      <c r="K43" s="26"/>
      <c r="L43" s="3"/>
    </row>
    <row r="44" spans="2:15" ht="14.25" customHeight="1" x14ac:dyDescent="0.25">
      <c r="B44" s="29">
        <v>400</v>
      </c>
      <c r="C44" s="3" t="s">
        <v>55</v>
      </c>
      <c r="D44" s="19">
        <v>1900956.1</v>
      </c>
      <c r="E44" s="3" t="s">
        <v>22</v>
      </c>
      <c r="F44" s="3" t="s">
        <v>47</v>
      </c>
      <c r="G44" s="24" t="s">
        <v>14</v>
      </c>
      <c r="H44" s="4">
        <v>4</v>
      </c>
      <c r="I44" s="5">
        <v>3</v>
      </c>
      <c r="J44" s="5">
        <f t="shared" si="1"/>
        <v>12</v>
      </c>
      <c r="K44" s="26"/>
      <c r="L44" s="3"/>
    </row>
    <row r="45" spans="2:15" ht="14.25" customHeight="1" x14ac:dyDescent="0.25">
      <c r="B45" s="3">
        <v>410</v>
      </c>
      <c r="C45" s="3" t="s">
        <v>56</v>
      </c>
      <c r="D45" s="19">
        <v>1900950.45</v>
      </c>
      <c r="E45" s="3" t="s">
        <v>22</v>
      </c>
      <c r="F45" s="3" t="s">
        <v>47</v>
      </c>
      <c r="G45" s="24" t="s">
        <v>14</v>
      </c>
      <c r="H45" s="4">
        <v>1</v>
      </c>
      <c r="I45" s="5">
        <v>2.2999999999999998</v>
      </c>
      <c r="J45" s="5">
        <f t="shared" si="1"/>
        <v>2.2999999999999998</v>
      </c>
      <c r="K45" s="26"/>
      <c r="L45" s="3"/>
    </row>
    <row r="46" spans="2:15" ht="14.25" customHeight="1" x14ac:dyDescent="0.25">
      <c r="B46" s="3">
        <v>411</v>
      </c>
      <c r="C46" s="3" t="s">
        <v>57</v>
      </c>
      <c r="D46" s="19">
        <v>1900920.48</v>
      </c>
      <c r="E46" s="3" t="s">
        <v>22</v>
      </c>
      <c r="F46" s="3" t="s">
        <v>47</v>
      </c>
      <c r="G46" s="24" t="s">
        <v>14</v>
      </c>
      <c r="H46" s="4">
        <v>1</v>
      </c>
      <c r="I46" s="5">
        <v>2.2000000000000002</v>
      </c>
      <c r="J46" s="5">
        <f t="shared" si="1"/>
        <v>2.2000000000000002</v>
      </c>
      <c r="K46" s="26"/>
      <c r="L46" s="3"/>
    </row>
    <row r="47" spans="2:15" ht="14.25" customHeight="1" x14ac:dyDescent="0.25">
      <c r="B47" s="3">
        <v>420</v>
      </c>
      <c r="C47" s="3" t="s">
        <v>58</v>
      </c>
      <c r="D47" s="19">
        <v>1900949.2</v>
      </c>
      <c r="E47" s="3" t="s">
        <v>22</v>
      </c>
      <c r="F47" s="3" t="s">
        <v>47</v>
      </c>
      <c r="G47" s="24" t="s">
        <v>14</v>
      </c>
      <c r="H47" s="4">
        <v>1</v>
      </c>
      <c r="I47" s="5">
        <v>4.2</v>
      </c>
      <c r="J47" s="5">
        <f t="shared" si="1"/>
        <v>4.2</v>
      </c>
      <c r="K47" s="26"/>
      <c r="L47" s="3"/>
    </row>
    <row r="48" spans="2:15" ht="14.25" customHeight="1" x14ac:dyDescent="0.25">
      <c r="B48" s="3">
        <v>430</v>
      </c>
      <c r="C48" s="3" t="s">
        <v>59</v>
      </c>
      <c r="D48" s="19">
        <v>1900944.4</v>
      </c>
      <c r="E48" s="3" t="s">
        <v>22</v>
      </c>
      <c r="F48" s="3" t="s">
        <v>47</v>
      </c>
      <c r="G48" s="24" t="s">
        <v>14</v>
      </c>
      <c r="H48" s="4">
        <v>2</v>
      </c>
      <c r="I48" s="5">
        <v>5.95</v>
      </c>
      <c r="J48" s="5">
        <f t="shared" si="1"/>
        <v>11.9</v>
      </c>
      <c r="K48" s="26"/>
      <c r="L48" s="3"/>
    </row>
    <row r="49" spans="2:15" ht="14.25" customHeight="1" x14ac:dyDescent="0.25">
      <c r="B49" s="3">
        <v>440</v>
      </c>
      <c r="C49" s="3" t="s">
        <v>60</v>
      </c>
      <c r="D49" s="19">
        <v>1900949.6</v>
      </c>
      <c r="E49" s="3" t="s">
        <v>22</v>
      </c>
      <c r="F49" s="3" t="s">
        <v>47</v>
      </c>
      <c r="G49" s="24" t="s">
        <v>14</v>
      </c>
      <c r="H49" s="4">
        <v>1</v>
      </c>
      <c r="I49" s="5">
        <v>8.1999999999999993</v>
      </c>
      <c r="J49" s="5">
        <f t="shared" si="1"/>
        <v>8.1999999999999993</v>
      </c>
      <c r="K49" s="26"/>
      <c r="L49" s="3"/>
    </row>
    <row r="50" spans="2:15" ht="14.25" customHeight="1" x14ac:dyDescent="0.25">
      <c r="B50" s="3">
        <v>450</v>
      </c>
      <c r="C50" s="3" t="s">
        <v>79</v>
      </c>
      <c r="D50" s="19">
        <v>422220</v>
      </c>
      <c r="E50" s="3" t="s">
        <v>22</v>
      </c>
      <c r="F50" s="3" t="s">
        <v>66</v>
      </c>
      <c r="G50" s="24" t="s">
        <v>14</v>
      </c>
      <c r="H50" s="4">
        <v>3</v>
      </c>
      <c r="I50" s="5">
        <v>4.5</v>
      </c>
      <c r="J50" s="5">
        <f t="shared" si="1"/>
        <v>13.5</v>
      </c>
      <c r="K50" s="26"/>
      <c r="L50" s="3"/>
    </row>
    <row r="51" spans="2:15" ht="14.25" customHeight="1" x14ac:dyDescent="0.25">
      <c r="B51" s="3">
        <v>460</v>
      </c>
      <c r="C51" s="3" t="s">
        <v>80</v>
      </c>
      <c r="D51" s="19">
        <v>421633</v>
      </c>
      <c r="E51" s="3" t="s">
        <v>22</v>
      </c>
      <c r="F51" s="3" t="s">
        <v>66</v>
      </c>
      <c r="G51" s="24" t="s">
        <v>14</v>
      </c>
      <c r="H51" s="4">
        <v>1</v>
      </c>
      <c r="I51" s="5">
        <v>15.9</v>
      </c>
      <c r="J51" s="5">
        <f t="shared" si="1"/>
        <v>15.9</v>
      </c>
      <c r="K51" s="26"/>
      <c r="L51" s="3"/>
    </row>
    <row r="52" spans="2:15" ht="14.25" customHeight="1" x14ac:dyDescent="0.25">
      <c r="B52" s="3">
        <v>470</v>
      </c>
      <c r="C52" s="3" t="s">
        <v>61</v>
      </c>
      <c r="D52" s="19">
        <v>1900911.27</v>
      </c>
      <c r="E52" s="3" t="s">
        <v>22</v>
      </c>
      <c r="F52" s="3" t="s">
        <v>47</v>
      </c>
      <c r="G52" s="24" t="s">
        <v>14</v>
      </c>
      <c r="H52" s="4">
        <v>8</v>
      </c>
      <c r="I52" s="5">
        <v>1.5</v>
      </c>
      <c r="J52" s="5">
        <f t="shared" si="1"/>
        <v>12</v>
      </c>
      <c r="K52" s="26"/>
      <c r="L52" s="3"/>
    </row>
    <row r="53" spans="2:15" ht="14.25" customHeight="1" x14ac:dyDescent="0.25">
      <c r="B53" s="3">
        <v>489</v>
      </c>
      <c r="C53" s="3" t="s">
        <v>81</v>
      </c>
      <c r="D53" s="19">
        <v>422091</v>
      </c>
      <c r="E53" s="3" t="s">
        <v>22</v>
      </c>
      <c r="F53" s="3" t="s">
        <v>66</v>
      </c>
      <c r="G53" s="24" t="s">
        <v>14</v>
      </c>
      <c r="H53" s="4">
        <v>1</v>
      </c>
      <c r="I53" s="5">
        <v>6.9</v>
      </c>
      <c r="J53" s="5">
        <f t="shared" si="1"/>
        <v>6.9</v>
      </c>
      <c r="K53" s="26"/>
      <c r="L53" s="3"/>
    </row>
    <row r="54" spans="2:15" x14ac:dyDescent="0.25">
      <c r="B54" s="3">
        <v>490</v>
      </c>
      <c r="C54" s="3" t="s">
        <v>82</v>
      </c>
      <c r="D54" s="19">
        <v>422201</v>
      </c>
      <c r="E54" s="3" t="s">
        <v>22</v>
      </c>
      <c r="F54" s="3" t="s">
        <v>66</v>
      </c>
      <c r="G54" s="24" t="s">
        <v>14</v>
      </c>
      <c r="H54" s="4">
        <v>1</v>
      </c>
      <c r="I54" s="5">
        <v>10.9</v>
      </c>
      <c r="J54" s="5">
        <f t="shared" si="1"/>
        <v>10.9</v>
      </c>
      <c r="K54" s="26"/>
      <c r="L54" s="3"/>
    </row>
    <row r="55" spans="2:15" x14ac:dyDescent="0.25">
      <c r="B55" s="3">
        <v>491</v>
      </c>
      <c r="C55" s="3" t="s">
        <v>83</v>
      </c>
      <c r="D55" s="19">
        <v>422202</v>
      </c>
      <c r="E55" s="3" t="s">
        <v>22</v>
      </c>
      <c r="F55" s="3" t="s">
        <v>66</v>
      </c>
      <c r="G55" s="24" t="s">
        <v>14</v>
      </c>
      <c r="H55" s="4">
        <v>1</v>
      </c>
      <c r="I55" s="5">
        <v>14.9</v>
      </c>
      <c r="J55" s="5">
        <f t="shared" si="1"/>
        <v>14.9</v>
      </c>
      <c r="K55" s="26"/>
      <c r="L55" s="3"/>
      <c r="O55" s="5"/>
    </row>
    <row r="56" spans="2:15" x14ac:dyDescent="0.25">
      <c r="B56" s="29">
        <v>500</v>
      </c>
      <c r="C56" s="3" t="s">
        <v>84</v>
      </c>
      <c r="D56" s="19">
        <v>421586</v>
      </c>
      <c r="E56" s="3" t="s">
        <v>22</v>
      </c>
      <c r="F56" s="3" t="s">
        <v>66</v>
      </c>
      <c r="G56" s="24" t="s">
        <v>14</v>
      </c>
      <c r="H56" s="4">
        <v>1</v>
      </c>
      <c r="I56" s="5">
        <v>9.5</v>
      </c>
      <c r="J56" s="5">
        <f t="shared" si="1"/>
        <v>9.5</v>
      </c>
      <c r="K56" s="26"/>
      <c r="L56" s="3"/>
    </row>
    <row r="57" spans="2:15" x14ac:dyDescent="0.25">
      <c r="B57" s="3">
        <v>510</v>
      </c>
      <c r="C57" s="3" t="s">
        <v>85</v>
      </c>
      <c r="D57" s="19">
        <v>420010</v>
      </c>
      <c r="E57" s="3" t="s">
        <v>22</v>
      </c>
      <c r="F57" s="3" t="s">
        <v>66</v>
      </c>
      <c r="G57" s="24" t="s">
        <v>14</v>
      </c>
      <c r="H57" s="4">
        <v>1</v>
      </c>
      <c r="I57" s="5">
        <v>6.9</v>
      </c>
      <c r="J57" s="5">
        <f t="shared" si="1"/>
        <v>6.9</v>
      </c>
      <c r="K57" s="26"/>
      <c r="L57" s="3"/>
      <c r="O57" s="5"/>
    </row>
    <row r="58" spans="2:15" x14ac:dyDescent="0.25">
      <c r="B58" s="3">
        <v>520</v>
      </c>
      <c r="C58" s="3" t="s">
        <v>86</v>
      </c>
      <c r="D58" s="19">
        <v>420029</v>
      </c>
      <c r="E58" s="3" t="s">
        <v>22</v>
      </c>
      <c r="F58" s="3" t="s">
        <v>66</v>
      </c>
      <c r="G58" s="24" t="s">
        <v>14</v>
      </c>
      <c r="H58" s="4">
        <v>1</v>
      </c>
      <c r="I58" s="5">
        <v>9.9</v>
      </c>
      <c r="J58" s="5">
        <f t="shared" si="1"/>
        <v>9.9</v>
      </c>
      <c r="K58" s="26"/>
      <c r="L58" s="3"/>
      <c r="O58" s="5"/>
    </row>
    <row r="59" spans="2:15" x14ac:dyDescent="0.25">
      <c r="B59" s="3">
        <v>530</v>
      </c>
      <c r="C59" s="3" t="s">
        <v>74</v>
      </c>
      <c r="D59" s="19">
        <v>420103</v>
      </c>
      <c r="E59" s="3" t="s">
        <v>22</v>
      </c>
      <c r="F59" s="3" t="s">
        <v>66</v>
      </c>
      <c r="G59" s="24" t="s">
        <v>14</v>
      </c>
      <c r="H59" s="4">
        <v>2</v>
      </c>
      <c r="I59" s="5">
        <v>4.9000000000000004</v>
      </c>
      <c r="J59" s="5">
        <f t="shared" si="1"/>
        <v>9.8000000000000007</v>
      </c>
      <c r="K59" s="26"/>
      <c r="L59" s="3"/>
      <c r="O59" s="5"/>
    </row>
    <row r="60" spans="2:15" x14ac:dyDescent="0.25">
      <c r="B60" s="3">
        <v>540</v>
      </c>
      <c r="C60" s="3" t="s">
        <v>87</v>
      </c>
      <c r="D60" s="19">
        <v>420330</v>
      </c>
      <c r="E60" s="3" t="s">
        <v>22</v>
      </c>
      <c r="F60" s="3" t="s">
        <v>66</v>
      </c>
      <c r="G60" s="24" t="s">
        <v>14</v>
      </c>
      <c r="H60" s="4">
        <v>1</v>
      </c>
      <c r="I60" s="5">
        <v>4.5</v>
      </c>
      <c r="J60" s="5">
        <f t="shared" si="1"/>
        <v>4.5</v>
      </c>
      <c r="K60" s="26"/>
      <c r="L60" s="3"/>
    </row>
    <row r="61" spans="2:15" x14ac:dyDescent="0.25">
      <c r="B61" s="3">
        <v>550</v>
      </c>
      <c r="C61" s="3" t="s">
        <v>88</v>
      </c>
      <c r="D61" s="19">
        <v>420328</v>
      </c>
      <c r="E61" s="3" t="s">
        <v>22</v>
      </c>
      <c r="F61" s="3" t="s">
        <v>66</v>
      </c>
      <c r="G61" s="24" t="s">
        <v>14</v>
      </c>
      <c r="H61" s="4">
        <v>1</v>
      </c>
      <c r="I61" s="5">
        <v>4.5</v>
      </c>
      <c r="J61" s="5">
        <f t="shared" si="1"/>
        <v>4.5</v>
      </c>
      <c r="K61" s="26"/>
      <c r="L61" s="3"/>
    </row>
    <row r="62" spans="2:15" x14ac:dyDescent="0.25">
      <c r="B62" s="3">
        <v>560</v>
      </c>
      <c r="C62" s="3" t="s">
        <v>89</v>
      </c>
      <c r="D62" s="19">
        <v>420646</v>
      </c>
      <c r="E62" s="3" t="s">
        <v>22</v>
      </c>
      <c r="F62" s="3" t="s">
        <v>66</v>
      </c>
      <c r="G62" s="24" t="s">
        <v>14</v>
      </c>
      <c r="H62" s="4">
        <v>1</v>
      </c>
      <c r="I62" s="5">
        <v>3.9</v>
      </c>
      <c r="J62" s="5">
        <f t="shared" si="1"/>
        <v>3.9</v>
      </c>
      <c r="K62" s="26"/>
      <c r="L62" s="3"/>
    </row>
    <row r="63" spans="2:15" ht="14.25" customHeight="1" x14ac:dyDescent="0.25">
      <c r="B63" s="3">
        <v>570</v>
      </c>
      <c r="C63" s="3" t="s">
        <v>90</v>
      </c>
      <c r="D63" s="19">
        <v>422137</v>
      </c>
      <c r="E63" s="3" t="s">
        <v>22</v>
      </c>
      <c r="F63" s="3" t="s">
        <v>66</v>
      </c>
      <c r="G63" s="24" t="s">
        <v>14</v>
      </c>
      <c r="H63" s="4">
        <v>1</v>
      </c>
      <c r="I63" s="5">
        <v>12.9</v>
      </c>
      <c r="J63" s="5">
        <f t="shared" si="1"/>
        <v>12.9</v>
      </c>
      <c r="K63" s="26"/>
      <c r="L63" s="3"/>
    </row>
    <row r="64" spans="2:15" x14ac:dyDescent="0.25">
      <c r="B64" s="3">
        <v>590</v>
      </c>
      <c r="C64" s="3" t="s">
        <v>109</v>
      </c>
      <c r="E64" s="3" t="s">
        <v>22</v>
      </c>
      <c r="F64" s="3" t="s">
        <v>110</v>
      </c>
      <c r="G64" s="24" t="s">
        <v>14</v>
      </c>
      <c r="H64" s="4">
        <v>1</v>
      </c>
      <c r="I64" s="5"/>
      <c r="J64" s="5">
        <f t="shared" si="1"/>
        <v>0</v>
      </c>
      <c r="K64" s="26"/>
      <c r="L64" s="3"/>
    </row>
    <row r="65" spans="2:12" x14ac:dyDescent="0.25">
      <c r="B65" s="29">
        <v>600</v>
      </c>
      <c r="C65" s="3" t="s">
        <v>96</v>
      </c>
      <c r="E65" s="3" t="s">
        <v>22</v>
      </c>
      <c r="F65" s="3" t="s">
        <v>112</v>
      </c>
      <c r="G65" s="24" t="s">
        <v>14</v>
      </c>
      <c r="H65" s="4">
        <v>1</v>
      </c>
      <c r="I65" s="5">
        <v>300</v>
      </c>
      <c r="J65" s="5">
        <f t="shared" si="1"/>
        <v>300</v>
      </c>
      <c r="K65" s="28"/>
      <c r="L65" s="3"/>
    </row>
    <row r="66" spans="2:12" ht="14.25" x14ac:dyDescent="0.2">
      <c r="B66" s="3">
        <v>610</v>
      </c>
      <c r="C66" s="3" t="s">
        <v>108</v>
      </c>
      <c r="E66" s="3" t="s">
        <v>97</v>
      </c>
      <c r="F66" s="3" t="s">
        <v>114</v>
      </c>
      <c r="H66" s="4">
        <v>1</v>
      </c>
      <c r="I66" s="5">
        <v>1000</v>
      </c>
      <c r="J66" s="5">
        <f t="shared" si="1"/>
        <v>1000</v>
      </c>
      <c r="K66" s="28"/>
      <c r="L66" s="3"/>
    </row>
    <row r="67" spans="2:12" ht="14.25" x14ac:dyDescent="0.2">
      <c r="B67" s="3">
        <v>620</v>
      </c>
      <c r="E67" s="3"/>
      <c r="H67" s="4"/>
      <c r="I67" s="5"/>
      <c r="J67" s="5">
        <f t="shared" si="1"/>
        <v>0</v>
      </c>
      <c r="K67" s="28"/>
      <c r="L67" s="3"/>
    </row>
    <row r="68" spans="2:12" ht="14.25" x14ac:dyDescent="0.2">
      <c r="B68" s="3">
        <v>630</v>
      </c>
      <c r="E68" s="3"/>
      <c r="H68" s="4"/>
      <c r="I68" s="5"/>
      <c r="J68" s="5">
        <f t="shared" si="1"/>
        <v>0</v>
      </c>
      <c r="K68" s="28"/>
      <c r="L68" s="3"/>
    </row>
    <row r="69" spans="2:12" ht="14.25" x14ac:dyDescent="0.2">
      <c r="B69" s="3">
        <v>640</v>
      </c>
      <c r="E69" s="3"/>
      <c r="H69" s="4"/>
      <c r="I69" s="5"/>
      <c r="J69" s="5">
        <f t="shared" si="1"/>
        <v>0</v>
      </c>
      <c r="K69" s="28"/>
      <c r="L69" s="3"/>
    </row>
    <row r="70" spans="2:12" ht="14.25" x14ac:dyDescent="0.2">
      <c r="B70" s="3">
        <v>650</v>
      </c>
      <c r="E70" s="3"/>
      <c r="H70" s="4"/>
      <c r="I70" s="5"/>
      <c r="J70" s="5">
        <f t="shared" si="1"/>
        <v>0</v>
      </c>
      <c r="K70" s="28"/>
      <c r="L70" s="3"/>
    </row>
    <row r="71" spans="2:12" ht="14.25" x14ac:dyDescent="0.2">
      <c r="B71" s="3">
        <v>660</v>
      </c>
      <c r="E71" s="3"/>
      <c r="H71" s="4"/>
      <c r="I71" s="5"/>
      <c r="J71" s="5">
        <f t="shared" ref="J71:J78" si="2">I71*H71</f>
        <v>0</v>
      </c>
      <c r="K71" s="28"/>
      <c r="L71" s="3"/>
    </row>
    <row r="72" spans="2:12" ht="14.25" x14ac:dyDescent="0.2">
      <c r="B72" s="3">
        <v>670</v>
      </c>
      <c r="E72" s="3"/>
      <c r="H72" s="4"/>
      <c r="I72" s="5"/>
      <c r="J72" s="5">
        <f t="shared" si="2"/>
        <v>0</v>
      </c>
      <c r="K72" s="28"/>
      <c r="L72" s="3"/>
    </row>
    <row r="73" spans="2:12" ht="14.25" x14ac:dyDescent="0.2">
      <c r="B73" s="3">
        <v>680</v>
      </c>
      <c r="E73" s="3"/>
      <c r="H73" s="4"/>
      <c r="I73" s="5"/>
      <c r="J73" s="5">
        <f t="shared" si="2"/>
        <v>0</v>
      </c>
      <c r="K73" s="28"/>
      <c r="L73" s="3"/>
    </row>
    <row r="74" spans="2:12" ht="14.25" x14ac:dyDescent="0.2">
      <c r="B74" s="3">
        <v>690</v>
      </c>
      <c r="E74" s="3"/>
      <c r="H74" s="4"/>
      <c r="I74" s="5"/>
      <c r="J74" s="5">
        <f t="shared" si="2"/>
        <v>0</v>
      </c>
      <c r="K74" s="28"/>
      <c r="L74" s="3"/>
    </row>
    <row r="75" spans="2:12" ht="14.25" x14ac:dyDescent="0.2">
      <c r="B75" s="3">
        <v>700</v>
      </c>
      <c r="E75" s="3"/>
      <c r="H75" s="4"/>
      <c r="I75" s="5"/>
      <c r="J75" s="5">
        <f t="shared" si="2"/>
        <v>0</v>
      </c>
      <c r="K75" s="28"/>
      <c r="L75" s="3"/>
    </row>
    <row r="76" spans="2:12" ht="14.25" x14ac:dyDescent="0.2">
      <c r="B76" s="3">
        <v>710</v>
      </c>
      <c r="E76" s="3"/>
      <c r="H76" s="4"/>
      <c r="I76" s="5"/>
      <c r="J76" s="5">
        <f t="shared" si="2"/>
        <v>0</v>
      </c>
      <c r="K76" s="28"/>
      <c r="L76" s="3"/>
    </row>
    <row r="77" spans="2:12" ht="14.25" x14ac:dyDescent="0.2">
      <c r="B77" s="3">
        <v>720</v>
      </c>
      <c r="E77" s="3"/>
      <c r="H77" s="4"/>
      <c r="I77" s="5"/>
      <c r="J77" s="5">
        <f t="shared" si="2"/>
        <v>0</v>
      </c>
      <c r="K77" s="28"/>
      <c r="L77" s="3"/>
    </row>
    <row r="78" spans="2:12" ht="14.25" x14ac:dyDescent="0.2">
      <c r="B78" s="3">
        <v>730</v>
      </c>
      <c r="E78" s="3"/>
      <c r="H78" s="4"/>
      <c r="I78" s="5"/>
      <c r="J78" s="5">
        <f t="shared" si="2"/>
        <v>0</v>
      </c>
      <c r="K78" s="28"/>
      <c r="L78" s="3"/>
    </row>
  </sheetData>
  <hyperlinks>
    <hyperlink ref="G13" r:id="rId1" xr:uid="{E9A3C7B5-66BF-4CE4-B410-2F350E45EB3D}"/>
    <hyperlink ref="G16" r:id="rId2" xr:uid="{15628225-4043-4D23-94DD-7E7F73D11780}"/>
    <hyperlink ref="G17" r:id="rId3" xr:uid="{C75F304D-766A-4509-B3A5-57B26273F33F}"/>
    <hyperlink ref="G11" r:id="rId4" xr:uid="{36F6F525-E43C-4E75-A091-CBE56A4994EB}"/>
    <hyperlink ref="G12" r:id="rId5" xr:uid="{7900EB30-8C93-436B-9490-09EA4C940036}"/>
    <hyperlink ref="G14" r:id="rId6" xr:uid="{C97F567A-C220-45CD-8BD4-FDFAAF95CDAE}"/>
    <hyperlink ref="G8" r:id="rId7" xr:uid="{0A2BB782-73CE-4DEF-95E5-1FDDC3270C57}"/>
    <hyperlink ref="G9" r:id="rId8" xr:uid="{4B8531ED-B372-4D63-B14C-D4C4E9C52044}"/>
    <hyperlink ref="G10" r:id="rId9" xr:uid="{7CC1FDD2-57D7-4334-98A5-30378B5CD5CB}"/>
    <hyperlink ref="G18" r:id="rId10" xr:uid="{D76307D6-A28F-4E35-90FB-2F556C4DFEE9}"/>
    <hyperlink ref="G7" r:id="rId11" xr:uid="{891B0606-3985-46D7-A950-F9DF1528D54C}"/>
    <hyperlink ref="G27" r:id="rId12" xr:uid="{2FC2480B-38CC-4CBF-8A73-70CB83B2D8BD}"/>
    <hyperlink ref="G32" r:id="rId13" xr:uid="{E9E1026A-458F-43A0-AFBD-7776EF3C34C6}"/>
    <hyperlink ref="G33" r:id="rId14" xr:uid="{7207373C-9DC6-4AE0-BD17-511B4A592D01}"/>
    <hyperlink ref="G34" r:id="rId15" xr:uid="{DA970C22-FB1F-43EB-A817-AE87CDD79AF9}"/>
    <hyperlink ref="G28" r:id="rId16" xr:uid="{2B4BD827-6A44-46DE-A9C7-A7771648EDFB}"/>
    <hyperlink ref="G29" r:id="rId17" xr:uid="{BE18CFAD-E490-421C-BD38-7FF588051726}"/>
    <hyperlink ref="G30" r:id="rId18" xr:uid="{8E2B757E-7E25-4210-B3B5-B13091722F7C}"/>
    <hyperlink ref="G31" r:id="rId19" xr:uid="{D13E52A9-D091-400A-A46E-DDC52E3F6B80}"/>
    <hyperlink ref="G35" r:id="rId20" xr:uid="{11DABD5D-1A60-46EB-B325-C1F28412C573}"/>
    <hyperlink ref="G36" r:id="rId21" xr:uid="{BB1B67B6-801A-489B-9D76-F78F6C3BB295}"/>
    <hyperlink ref="G19" r:id="rId22" xr:uid="{F96B110D-C040-495C-859F-C2805E558BFD}"/>
    <hyperlink ref="G15" r:id="rId23" xr:uid="{A09027D8-2320-43C8-9921-77CED56C86D2}"/>
    <hyperlink ref="G38" r:id="rId24" xr:uid="{D6B13B37-4E94-4C5E-B2DB-86B70F16EDCC}"/>
    <hyperlink ref="G39" r:id="rId25" xr:uid="{5FA6638C-108B-4D1C-93A5-1BB810BB8567}"/>
    <hyperlink ref="G20" r:id="rId26" xr:uid="{9C98A884-B3FF-4BB9-92A2-FE9D87BD0D96}"/>
    <hyperlink ref="G21" r:id="rId27" xr:uid="{18C7E5DD-C83E-4435-BABD-F4B5E59D77CE}"/>
    <hyperlink ref="G41" r:id="rId28" xr:uid="{4EEF6C0D-5511-4509-AC30-5203F21C7408}"/>
    <hyperlink ref="G42" r:id="rId29" xr:uid="{D5EC2F52-8A69-4E6B-BD8F-EE902982415F}"/>
    <hyperlink ref="G23" r:id="rId30" xr:uid="{40815F2A-75BC-48D6-9B49-87643DF240EA}"/>
    <hyperlink ref="G44" r:id="rId31" xr:uid="{D079825E-E4AF-4AD5-B27D-F467D28C91A8}"/>
    <hyperlink ref="G47" r:id="rId32" xr:uid="{C6C8554D-D9DA-41EE-9425-6BAEF7A1092F}"/>
    <hyperlink ref="G48" r:id="rId33" xr:uid="{15BDB778-CD49-4F5E-B7D6-8A79E2122990}"/>
    <hyperlink ref="G49" r:id="rId34" xr:uid="{2A64CE4E-389B-4E62-A310-FD48FFA33851}"/>
    <hyperlink ref="G43" r:id="rId35" xr:uid="{63F3DF86-697D-4157-8D2D-61359DF8A0F0}"/>
    <hyperlink ref="G22" r:id="rId36" xr:uid="{1EFEDD1D-C369-4C2C-87E7-0C4FA9EB09B7}"/>
    <hyperlink ref="G24" r:id="rId37" xr:uid="{49AA44A8-57DD-4D48-B3BF-9738A1265B11}"/>
    <hyperlink ref="G45" r:id="rId38" xr:uid="{E5CAD171-222C-4784-90CA-4E505797E469}"/>
    <hyperlink ref="G26" r:id="rId39" xr:uid="{F7F5722B-E657-445D-95C2-29DCC1810CF3}"/>
    <hyperlink ref="G25" r:id="rId40" xr:uid="{F55B99D5-4F4C-4F90-AB48-C98A7C2B1D58}"/>
    <hyperlink ref="G50" r:id="rId41" xr:uid="{1C45ABBD-C6FD-4B19-998A-B64DFE53697C}"/>
    <hyperlink ref="G51" r:id="rId42" xr:uid="{F00FF864-0301-45AA-A8BF-FF6EABBE1695}"/>
    <hyperlink ref="G52" r:id="rId43" xr:uid="{D1DFBC7D-7837-46F4-BF8A-3E2AABC433AB}"/>
    <hyperlink ref="G46" r:id="rId44" xr:uid="{7587373D-B659-4CD0-90AF-9EB02857ADC7}"/>
    <hyperlink ref="G37" r:id="rId45" xr:uid="{BE4CED9E-D076-451D-AB29-0762900B42EC}"/>
    <hyperlink ref="G40" r:id="rId46" xr:uid="{0D2E5B5B-07DD-4503-BC7E-6F531623E364}"/>
    <hyperlink ref="G54" r:id="rId47" xr:uid="{E5B71B63-CD8D-4BCC-A9F1-2EFCE7FF54DE}"/>
    <hyperlink ref="G53" r:id="rId48" xr:uid="{366B3DE6-1DFB-4638-86C6-8492C5520B97}"/>
    <hyperlink ref="G56" r:id="rId49" xr:uid="{71CA8AEE-6D34-4C2C-9F5D-F9656223990A}"/>
    <hyperlink ref="G57" r:id="rId50" xr:uid="{6661D95E-064F-4C39-8797-655CE45FD599}"/>
    <hyperlink ref="G59" r:id="rId51" xr:uid="{A84F268E-3C6D-49F4-817F-9D3FB1DC83CA}"/>
    <hyperlink ref="G60" r:id="rId52" xr:uid="{67757E67-03C7-4A9E-B5D2-88CBDF676C24}"/>
    <hyperlink ref="G61" r:id="rId53" xr:uid="{0A036628-167F-402C-8B65-FB48C0D1836F}"/>
    <hyperlink ref="G58" r:id="rId54" xr:uid="{C9F5FF2B-78AF-4430-B9F8-2E096F533AD9}"/>
    <hyperlink ref="G62" r:id="rId55" xr:uid="{1752947E-20D1-449E-9F40-63D1342ED931}"/>
    <hyperlink ref="G63" r:id="rId56" xr:uid="{02A67C7D-FC6E-4B66-B8A1-E146A162C499}"/>
    <hyperlink ref="G55" r:id="rId57" xr:uid="{9A62C282-2AE1-436D-AD7F-9FB4DC6FFC6F}"/>
    <hyperlink ref="G64" r:id="rId58" xr:uid="{ED317888-5BA6-4A3B-AB02-0C1AD14A7C2C}"/>
    <hyperlink ref="G65" r:id="rId59" xr:uid="{A74082D5-A527-4CC5-9B08-A0E6952E4B18}"/>
  </hyperlinks>
  <pageMargins left="0.25" right="0.25" top="0.75" bottom="0.75" header="0.3" footer="0.3"/>
  <pageSetup paperSize="9" scale="52" orientation="landscape" r:id="rId60"/>
  <tableParts count="1">
    <tablePart r:id="rId6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AF9FF04-1B37-4B9D-A45C-FD67BDDE267D}">
          <x14:formula1>
            <xm:f>Dropdowns!$B$4:$B$5</xm:f>
          </x14:formula1>
          <xm:sqref>E7:E78</xm:sqref>
        </x14:dataValidation>
        <x14:dataValidation type="list" allowBlank="1" showInputMessage="1" showErrorMessage="1" xr:uid="{F2E08FA0-E0D4-47FF-87CB-1E695FD11E3B}">
          <x14:formula1>
            <xm:f>Dropdowns!$C$4:$C$27</xm:f>
          </x14:formula1>
          <xm:sqref>F7:F78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4537F-D735-4780-9966-24ABD3BC5A4B}">
  <dimension ref="B2:C20"/>
  <sheetViews>
    <sheetView workbookViewId="0">
      <selection activeCell="D19" sqref="D19"/>
    </sheetView>
  </sheetViews>
  <sheetFormatPr defaultColWidth="9.140625" defaultRowHeight="15" x14ac:dyDescent="0.25"/>
  <cols>
    <col min="3" max="3" width="11.28515625" bestFit="1" customWidth="1"/>
  </cols>
  <sheetData>
    <row r="2" spans="2:3" x14ac:dyDescent="0.25">
      <c r="B2" t="s">
        <v>98</v>
      </c>
      <c r="C2" t="s">
        <v>99</v>
      </c>
    </row>
    <row r="4" spans="2:3" x14ac:dyDescent="0.25">
      <c r="B4" t="s">
        <v>97</v>
      </c>
      <c r="C4" t="s">
        <v>47</v>
      </c>
    </row>
    <row r="5" spans="2:3" x14ac:dyDescent="0.25">
      <c r="B5" t="s">
        <v>22</v>
      </c>
      <c r="C5" t="s">
        <v>100</v>
      </c>
    </row>
    <row r="6" spans="2:3" x14ac:dyDescent="0.25">
      <c r="C6" t="s">
        <v>101</v>
      </c>
    </row>
    <row r="7" spans="2:3" x14ac:dyDescent="0.25">
      <c r="C7" t="s">
        <v>102</v>
      </c>
    </row>
    <row r="8" spans="2:3" x14ac:dyDescent="0.25">
      <c r="C8" t="s">
        <v>66</v>
      </c>
    </row>
    <row r="9" spans="2:3" x14ac:dyDescent="0.25">
      <c r="C9" t="s">
        <v>103</v>
      </c>
    </row>
    <row r="10" spans="2:3" x14ac:dyDescent="0.25">
      <c r="C10" t="s">
        <v>114</v>
      </c>
    </row>
    <row r="11" spans="2:3" x14ac:dyDescent="0.25">
      <c r="C11" t="s">
        <v>104</v>
      </c>
    </row>
    <row r="12" spans="2:3" x14ac:dyDescent="0.25">
      <c r="C12" t="s">
        <v>105</v>
      </c>
    </row>
    <row r="13" spans="2:3" x14ac:dyDescent="0.25">
      <c r="C13" t="s">
        <v>64</v>
      </c>
    </row>
    <row r="14" spans="2:3" x14ac:dyDescent="0.25">
      <c r="C14" t="s">
        <v>23</v>
      </c>
    </row>
    <row r="15" spans="2:3" x14ac:dyDescent="0.25">
      <c r="C15" t="s">
        <v>45</v>
      </c>
    </row>
    <row r="16" spans="2:3" x14ac:dyDescent="0.25">
      <c r="C16" t="s">
        <v>95</v>
      </c>
    </row>
    <row r="17" spans="3:3" x14ac:dyDescent="0.25">
      <c r="C17" t="s">
        <v>92</v>
      </c>
    </row>
    <row r="18" spans="3:3" x14ac:dyDescent="0.25">
      <c r="C18" t="s">
        <v>107</v>
      </c>
    </row>
    <row r="19" spans="3:3" x14ac:dyDescent="0.25">
      <c r="C19" t="s">
        <v>110</v>
      </c>
    </row>
    <row r="20" spans="3:3" x14ac:dyDescent="0.25">
      <c r="C20" t="s">
        <v>112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ae8ee2-ae32-4e8d-8708-661ae95e1577">
      <Terms xmlns="http://schemas.microsoft.com/office/infopath/2007/PartnerControls"/>
    </lcf76f155ced4ddcb4097134ff3c332f>
    <TaxCatchAll xmlns="97e359a8-4c55-4da9-8456-8c055308e1e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901F2BACF58DA4BBB2B49A3D362CCBE" ma:contentTypeVersion="13" ma:contentTypeDescription="Ein neues Dokument erstellen." ma:contentTypeScope="" ma:versionID="36f41b174122f06b7bcb8aada326466b">
  <xsd:schema xmlns:xsd="http://www.w3.org/2001/XMLSchema" xmlns:xs="http://www.w3.org/2001/XMLSchema" xmlns:p="http://schemas.microsoft.com/office/2006/metadata/properties" xmlns:ns2="5fae8ee2-ae32-4e8d-8708-661ae95e1577" xmlns:ns3="97e359a8-4c55-4da9-8456-8c055308e1e3" targetNamespace="http://schemas.microsoft.com/office/2006/metadata/properties" ma:root="true" ma:fieldsID="d0b6ed9ed45d48ff5f22176ff27a5719" ns2:_="" ns3:_="">
    <xsd:import namespace="5fae8ee2-ae32-4e8d-8708-661ae95e1577"/>
    <xsd:import namespace="97e359a8-4c55-4da9-8456-8c055308e1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e8ee2-ae32-4e8d-8708-661ae95e15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f212c26d-ba8a-401b-a725-3045b2045b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e359a8-4c55-4da9-8456-8c055308e1e3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5c2a11d-112c-428f-9bda-01a9bd2b34fe}" ma:internalName="TaxCatchAll" ma:showField="CatchAllData" ma:web="97e359a8-4c55-4da9-8456-8c055308e1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280758-67C4-4BC5-A492-4A779330F1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E30B6EC-6AEA-4A27-B7FC-1C22C598CE18}">
  <ds:schemaRefs>
    <ds:schemaRef ds:uri="http://purl.org/dc/elements/1.1/"/>
    <ds:schemaRef ds:uri="97e359a8-4c55-4da9-8456-8c055308e1e3"/>
    <ds:schemaRef ds:uri="http://www.w3.org/XML/1998/namespace"/>
    <ds:schemaRef ds:uri="5fae8ee2-ae32-4e8d-8708-661ae95e1577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16CF5382-69E9-45CB-BB41-A2780B419C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ae8ee2-ae32-4e8d-8708-661ae95e1577"/>
    <ds:schemaRef ds:uri="97e359a8-4c55-4da9-8456-8c055308e1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Voron</vt:lpstr>
      <vt:lpstr>Dropdowns</vt:lpstr>
      <vt:lpstr>Voron!Print_Area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daniel.aeschbacher@ost.ch;marc.kressig@ost.ch</dc:creator>
  <cp:keywords/>
  <dc:description/>
  <cp:lastModifiedBy>Marc Kressig</cp:lastModifiedBy>
  <cp:revision/>
  <cp:lastPrinted>2023-07-26T08:04:29Z</cp:lastPrinted>
  <dcterms:created xsi:type="dcterms:W3CDTF">2015-06-05T18:19:34Z</dcterms:created>
  <dcterms:modified xsi:type="dcterms:W3CDTF">2026-07-02T12:24:19Z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0x0101007901F2BACF58DA4BBB2B49A3D362CCBE</vt:lpwstr>
  </property>
  <property fmtid="{D5CDD505-2E9C-101B-9397-08002B2CF9AE}" pid="3" name="MediaServiceImageTags">
    <vt:lpwstr/>
  </property>
</Properties>
</file>